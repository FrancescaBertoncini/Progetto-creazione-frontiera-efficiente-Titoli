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b3036cd34a7915/Desktop/"/>
    </mc:Choice>
  </mc:AlternateContent>
  <xr:revisionPtr revIDLastSave="55" documentId="8_{7B6BF123-0A54-4041-AD34-7A8983B0CBEC}" xr6:coauthVersionLast="47" xr6:coauthVersionMax="47" xr10:uidLastSave="{90DEFB69-296C-42A1-8074-FB38278784C5}"/>
  <bookViews>
    <workbookView xWindow="-108" yWindow="-108" windowWidth="23256" windowHeight="12456" xr2:uid="{2ACAB115-2FFD-402E-8FE5-8AF1F9A3FEDB}"/>
  </bookViews>
  <sheets>
    <sheet name="A1" sheetId="2" r:id="rId1"/>
    <sheet name="A2-risolutore" sheetId="3" r:id="rId2"/>
    <sheet name="A2-derivazione analitica" sheetId="4" r:id="rId3"/>
    <sheet name="A3" sheetId="5" r:id="rId4"/>
    <sheet name="A4-short selling ammesso" sheetId="7" r:id="rId5"/>
    <sheet name="A4-short selling non ammesso" sheetId="8" r:id="rId6"/>
    <sheet name="A5-EW con 5 titoli" sheetId="9" r:id="rId7"/>
    <sheet name="A5-EW con 10 titoli" sheetId="10" r:id="rId8"/>
    <sheet name="A6" sheetId="11" r:id="rId9"/>
    <sheet name="A7" sheetId="12" r:id="rId10"/>
    <sheet name="B8" sheetId="13" r:id="rId11"/>
    <sheet name="B9-Single Index Model" sheetId="1" r:id="rId12"/>
    <sheet name="B9-CAPM" sheetId="27" r:id="rId13"/>
    <sheet name="Regressione Apple" sheetId="15" r:id="rId14"/>
    <sheet name="Regressione Cucinelli" sheetId="16" r:id="rId15"/>
    <sheet name="Regressione Goldman Sanchs" sheetId="19" r:id="rId16"/>
    <sheet name="Regressione JP Morgan" sheetId="20" r:id="rId17"/>
    <sheet name="Regressione Microsoft" sheetId="21" r:id="rId18"/>
    <sheet name="Regressione American Water" sheetId="22" r:id="rId19"/>
    <sheet name="Regressione Pfizer" sheetId="23" r:id="rId20"/>
    <sheet name="Regressione Tod's" sheetId="24" r:id="rId21"/>
    <sheet name="Regressione Riso" sheetId="25" r:id="rId22"/>
    <sheet name="Regressione First Solar" sheetId="26" r:id="rId23"/>
  </sheets>
  <externalReferences>
    <externalReference r:id="rId24"/>
  </externalReferences>
  <definedNames>
    <definedName name="solver_adj" localSheetId="1" hidden="1">'A2-risolutore'!$F$16:$J$16</definedName>
    <definedName name="solver_adj" localSheetId="3" hidden="1">'A3'!$F$16:$J$16</definedName>
    <definedName name="solver_adj" localSheetId="7" hidden="1">'A5-EW con 10 titoli'!$F$16:$O$16</definedName>
    <definedName name="solver_adj" localSheetId="6" hidden="1">'A5-EW con 5 titoli'!$F$16:$J$16</definedName>
    <definedName name="solver_adj" localSheetId="8" hidden="1">'A6'!$F$16:$J$16</definedName>
    <definedName name="solver_adj" localSheetId="9" hidden="1">'A7'!$F$80,'A7'!$F$81</definedName>
    <definedName name="solver_adj" localSheetId="11" hidden="1">'B9-Single Index Model'!$J$20:$N$20</definedName>
    <definedName name="solver_cvg" localSheetId="1" hidden="1">0.0001</definedName>
    <definedName name="solver_cvg" localSheetId="3" hidden="1">0.0001</definedName>
    <definedName name="solver_cvg" localSheetId="7" hidden="1">0.0001</definedName>
    <definedName name="solver_cvg" localSheetId="6" hidden="1">0.0001</definedName>
    <definedName name="solver_cvg" localSheetId="8" hidden="1">0.0001</definedName>
    <definedName name="solver_cvg" localSheetId="9" hidden="1">0.0001</definedName>
    <definedName name="solver_cvg" localSheetId="11" hidden="1">0.0001</definedName>
    <definedName name="solver_drv" localSheetId="1" hidden="1">1</definedName>
    <definedName name="solver_drv" localSheetId="3" hidden="1">1</definedName>
    <definedName name="solver_drv" localSheetId="7" hidden="1">2</definedName>
    <definedName name="solver_drv" localSheetId="6" hidden="1">1</definedName>
    <definedName name="solver_drv" localSheetId="8" hidden="1">1</definedName>
    <definedName name="solver_drv" localSheetId="9" hidden="1">2</definedName>
    <definedName name="solver_drv" localSheetId="11" hidden="1">1</definedName>
    <definedName name="solver_eng" localSheetId="2" hidden="1">1</definedName>
    <definedName name="solver_eng" localSheetId="1" hidden="1">1</definedName>
    <definedName name="solver_eng" localSheetId="3" hidden="1">1</definedName>
    <definedName name="solver_eng" localSheetId="7" hidden="1">1</definedName>
    <definedName name="solver_eng" localSheetId="6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st" localSheetId="1" hidden="1">1</definedName>
    <definedName name="solver_est" localSheetId="3" hidden="1">1</definedName>
    <definedName name="solver_est" localSheetId="7" hidden="1">1</definedName>
    <definedName name="solver_est" localSheetId="6" hidden="1">1</definedName>
    <definedName name="solver_est" localSheetId="8" hidden="1">1</definedName>
    <definedName name="solver_est" localSheetId="9" hidden="1">1</definedName>
    <definedName name="solver_est" localSheetId="11" hidden="1">1</definedName>
    <definedName name="solver_itr" localSheetId="1" hidden="1">2147483647</definedName>
    <definedName name="solver_itr" localSheetId="3" hidden="1">2147483647</definedName>
    <definedName name="solver_itr" localSheetId="7" hidden="1">2147483647</definedName>
    <definedName name="solver_itr" localSheetId="6" hidden="1">2147483647</definedName>
    <definedName name="solver_itr" localSheetId="8" hidden="1">2147483647</definedName>
    <definedName name="solver_itr" localSheetId="9" hidden="1">2147483647</definedName>
    <definedName name="solver_itr" localSheetId="11" hidden="1">2147483647</definedName>
    <definedName name="solver_lhs1" localSheetId="1" hidden="1">'A2-risolutore'!$F$18</definedName>
    <definedName name="solver_lhs1" localSheetId="3" hidden="1">'A3'!$F$16</definedName>
    <definedName name="solver_lhs1" localSheetId="7" hidden="1">'A5-EW con 10 titoli'!$G$20</definedName>
    <definedName name="solver_lhs1" localSheetId="6" hidden="1">'A5-EW con 5 titoli'!$F$20</definedName>
    <definedName name="solver_lhs1" localSheetId="8" hidden="1">'A6'!$K$16</definedName>
    <definedName name="solver_lhs1" localSheetId="9" hidden="1">'A7'!$D$83</definedName>
    <definedName name="solver_lhs1" localSheetId="11" hidden="1">'B9-Single Index Model'!$J$24</definedName>
    <definedName name="solver_lhs2" localSheetId="1" hidden="1">'A2-risolutore'!$K$16</definedName>
    <definedName name="solver_lhs2" localSheetId="3" hidden="1">'A3'!$F$20</definedName>
    <definedName name="solver_lhs2" localSheetId="7" hidden="1">'A5-EW con 10 titoli'!$P$16</definedName>
    <definedName name="solver_lhs2" localSheetId="6" hidden="1">'A5-EW con 5 titoli'!$K$16</definedName>
    <definedName name="solver_lhs2" localSheetId="8" hidden="1">'A6'!$K$16</definedName>
    <definedName name="solver_lhs2" localSheetId="9" hidden="1">'A7'!$D$83</definedName>
    <definedName name="solver_lhs2" localSheetId="11" hidden="1">'B9-Single Index Model'!$O$20</definedName>
    <definedName name="solver_lhs3" localSheetId="1" hidden="1">'A2-risolutore'!$K$16</definedName>
    <definedName name="solver_lhs3" localSheetId="3" hidden="1">'A3'!$G$16</definedName>
    <definedName name="solver_lhs4" localSheetId="1" hidden="1">'A2-risolutore'!$K$16</definedName>
    <definedName name="solver_lhs4" localSheetId="3" hidden="1">'A3'!$H$16</definedName>
    <definedName name="solver_lhs5" localSheetId="1" hidden="1">'A2-risolutore'!$K$16</definedName>
    <definedName name="solver_lhs5" localSheetId="3" hidden="1">'A3'!$I$16</definedName>
    <definedName name="solver_lhs6" localSheetId="1" hidden="1">'A2-risolutore'!$K$16</definedName>
    <definedName name="solver_lhs6" localSheetId="3" hidden="1">'A3'!$J$16</definedName>
    <definedName name="solver_lhs7" localSheetId="1" hidden="1">'A2-risolutore'!$K$16</definedName>
    <definedName name="solver_lhs7" localSheetId="3" hidden="1">'A3'!$K$16</definedName>
    <definedName name="solver_mip" localSheetId="1" hidden="1">2147483647</definedName>
    <definedName name="solver_mip" localSheetId="3" hidden="1">2147483647</definedName>
    <definedName name="solver_mip" localSheetId="7" hidden="1">2147483647</definedName>
    <definedName name="solver_mip" localSheetId="6" hidden="1">2147483647</definedName>
    <definedName name="solver_mip" localSheetId="8" hidden="1">2147483647</definedName>
    <definedName name="solver_mip" localSheetId="9" hidden="1">2147483647</definedName>
    <definedName name="solver_mip" localSheetId="11" hidden="1">2147483647</definedName>
    <definedName name="solver_mni" localSheetId="1" hidden="1">30</definedName>
    <definedName name="solver_mni" localSheetId="3" hidden="1">30</definedName>
    <definedName name="solver_mni" localSheetId="7" hidden="1">30</definedName>
    <definedName name="solver_mni" localSheetId="6" hidden="1">30</definedName>
    <definedName name="solver_mni" localSheetId="8" hidden="1">30</definedName>
    <definedName name="solver_mni" localSheetId="9" hidden="1">30</definedName>
    <definedName name="solver_mni" localSheetId="11" hidden="1">30</definedName>
    <definedName name="solver_mrt" localSheetId="1" hidden="1">0.075</definedName>
    <definedName name="solver_mrt" localSheetId="3" hidden="1">0.075</definedName>
    <definedName name="solver_mrt" localSheetId="7" hidden="1">0.075</definedName>
    <definedName name="solver_mrt" localSheetId="6" hidden="1">0.075</definedName>
    <definedName name="solver_mrt" localSheetId="8" hidden="1">0.075</definedName>
    <definedName name="solver_mrt" localSheetId="9" hidden="1">0.075</definedName>
    <definedName name="solver_mrt" localSheetId="11" hidden="1">0.075</definedName>
    <definedName name="solver_msl" localSheetId="1" hidden="1">2</definedName>
    <definedName name="solver_msl" localSheetId="3" hidden="1">2</definedName>
    <definedName name="solver_msl" localSheetId="7" hidden="1">2</definedName>
    <definedName name="solver_msl" localSheetId="6" hidden="1">2</definedName>
    <definedName name="solver_msl" localSheetId="8" hidden="1">2</definedName>
    <definedName name="solver_msl" localSheetId="9" hidden="1">2</definedName>
    <definedName name="solver_msl" localSheetId="11" hidden="1">2</definedName>
    <definedName name="solver_neg" localSheetId="2" hidden="1">1</definedName>
    <definedName name="solver_neg" localSheetId="1" hidden="1">2</definedName>
    <definedName name="solver_neg" localSheetId="3" hidden="1">2</definedName>
    <definedName name="solver_neg" localSheetId="7" hidden="1">2</definedName>
    <definedName name="solver_neg" localSheetId="6" hidden="1">2</definedName>
    <definedName name="solver_neg" localSheetId="8" hidden="1">2</definedName>
    <definedName name="solver_neg" localSheetId="9" hidden="1">2</definedName>
    <definedName name="solver_neg" localSheetId="10" hidden="1">1</definedName>
    <definedName name="solver_neg" localSheetId="11" hidden="1">2</definedName>
    <definedName name="solver_nod" localSheetId="1" hidden="1">2147483647</definedName>
    <definedName name="solver_nod" localSheetId="3" hidden="1">2147483647</definedName>
    <definedName name="solver_nod" localSheetId="7" hidden="1">2147483647</definedName>
    <definedName name="solver_nod" localSheetId="6" hidden="1">2147483647</definedName>
    <definedName name="solver_nod" localSheetId="8" hidden="1">2147483647</definedName>
    <definedName name="solver_nod" localSheetId="9" hidden="1">2147483647</definedName>
    <definedName name="solver_nod" localSheetId="11" hidden="1">2147483647</definedName>
    <definedName name="solver_num" localSheetId="2" hidden="1">0</definedName>
    <definedName name="solver_num" localSheetId="1" hidden="1">2</definedName>
    <definedName name="solver_num" localSheetId="3" hidden="1">7</definedName>
    <definedName name="solver_num" localSheetId="7" hidden="1">2</definedName>
    <definedName name="solver_num" localSheetId="6" hidden="1">2</definedName>
    <definedName name="solver_num" localSheetId="8" hidden="1">1</definedName>
    <definedName name="solver_num" localSheetId="9" hidden="1">1</definedName>
    <definedName name="solver_num" localSheetId="10" hidden="1">0</definedName>
    <definedName name="solver_num" localSheetId="11" hidden="1">2</definedName>
    <definedName name="solver_nwt" localSheetId="1" hidden="1">1</definedName>
    <definedName name="solver_nwt" localSheetId="3" hidden="1">1</definedName>
    <definedName name="solver_nwt" localSheetId="7" hidden="1">1</definedName>
    <definedName name="solver_nwt" localSheetId="6" hidden="1">1</definedName>
    <definedName name="solver_nwt" localSheetId="8" hidden="1">1</definedName>
    <definedName name="solver_nwt" localSheetId="9" hidden="1">1</definedName>
    <definedName name="solver_nwt" localSheetId="11" hidden="1">1</definedName>
    <definedName name="solver_opt" localSheetId="2" hidden="1">'A2-derivazione analitica'!$D$49</definedName>
    <definedName name="solver_opt" localSheetId="1" hidden="1">'A2-risolutore'!$F$20</definedName>
    <definedName name="solver_opt" localSheetId="3" hidden="1">'A3'!$F$18</definedName>
    <definedName name="solver_opt" localSheetId="7" hidden="1">'A5-EW con 10 titoli'!$G$18</definedName>
    <definedName name="solver_opt" localSheetId="6" hidden="1">'A5-EW con 5 titoli'!$F$18</definedName>
    <definedName name="solver_opt" localSheetId="8" hidden="1">'A6'!$J$18</definedName>
    <definedName name="solver_opt" localSheetId="9" hidden="1">'A7'!$D$77</definedName>
    <definedName name="solver_opt" localSheetId="10" hidden="1">'B8'!$O$3</definedName>
    <definedName name="solver_opt" localSheetId="11" hidden="1">'B9-Single Index Model'!$J$22</definedName>
    <definedName name="solver_pre" localSheetId="1" hidden="1">0.000001</definedName>
    <definedName name="solver_pre" localSheetId="3" hidden="1">0.000001</definedName>
    <definedName name="solver_pre" localSheetId="7" hidden="1">0.000001</definedName>
    <definedName name="solver_pre" localSheetId="6" hidden="1">0.000001</definedName>
    <definedName name="solver_pre" localSheetId="8" hidden="1">0.000001</definedName>
    <definedName name="solver_pre" localSheetId="9" hidden="1">0.000001</definedName>
    <definedName name="solver_pre" localSheetId="11" hidden="1">0.000001</definedName>
    <definedName name="solver_rbv" localSheetId="1" hidden="1">1</definedName>
    <definedName name="solver_rbv" localSheetId="3" hidden="1">1</definedName>
    <definedName name="solver_rbv" localSheetId="7" hidden="1">2</definedName>
    <definedName name="solver_rbv" localSheetId="6" hidden="1">1</definedName>
    <definedName name="solver_rbv" localSheetId="8" hidden="1">1</definedName>
    <definedName name="solver_rbv" localSheetId="9" hidden="1">2</definedName>
    <definedName name="solver_rbv" localSheetId="11" hidden="1">1</definedName>
    <definedName name="solver_rel1" localSheetId="1" hidden="1">2</definedName>
    <definedName name="solver_rel1" localSheetId="3" hidden="1">3</definedName>
    <definedName name="solver_rel1" localSheetId="7" hidden="1">2</definedName>
    <definedName name="solver_rel1" localSheetId="6" hidden="1">2</definedName>
    <definedName name="solver_rel1" localSheetId="8" hidden="1">2</definedName>
    <definedName name="solver_rel1" localSheetId="9" hidden="1">2</definedName>
    <definedName name="solver_rel1" localSheetId="11" hidden="1">2</definedName>
    <definedName name="solver_rel2" localSheetId="1" hidden="1">2</definedName>
    <definedName name="solver_rel2" localSheetId="3" hidden="1">2</definedName>
    <definedName name="solver_rel2" localSheetId="7" hidden="1">2</definedName>
    <definedName name="solver_rel2" localSheetId="6" hidden="1">2</definedName>
    <definedName name="solver_rel2" localSheetId="8" hidden="1">2</definedName>
    <definedName name="solver_rel2" localSheetId="9" hidden="1">2</definedName>
    <definedName name="solver_rel2" localSheetId="11" hidden="1">2</definedName>
    <definedName name="solver_rel3" localSheetId="1" hidden="1">2</definedName>
    <definedName name="solver_rel3" localSheetId="3" hidden="1">3</definedName>
    <definedName name="solver_rel4" localSheetId="1" hidden="1">2</definedName>
    <definedName name="solver_rel4" localSheetId="3" hidden="1">3</definedName>
    <definedName name="solver_rel5" localSheetId="1" hidden="1">2</definedName>
    <definedName name="solver_rel5" localSheetId="3" hidden="1">3</definedName>
    <definedName name="solver_rel6" localSheetId="1" hidden="1">2</definedName>
    <definedName name="solver_rel6" localSheetId="3" hidden="1">3</definedName>
    <definedName name="solver_rel7" localSheetId="1" hidden="1">2</definedName>
    <definedName name="solver_rel7" localSheetId="3" hidden="1">2</definedName>
    <definedName name="solver_rhs1" localSheetId="1" hidden="1">'A2-risolutore'!$C$24</definedName>
    <definedName name="solver_rhs1" localSheetId="3" hidden="1">0</definedName>
    <definedName name="solver_rhs1" localSheetId="7" hidden="1">'A5-EW con 10 titoli'!$C$44</definedName>
    <definedName name="solver_rhs1" localSheetId="6" hidden="1">'A5-EW con 5 titoli'!$C$24</definedName>
    <definedName name="solver_rhs1" localSheetId="8" hidden="1">1</definedName>
    <definedName name="solver_rhs1" localSheetId="9" hidden="1">'A7'!$C$41</definedName>
    <definedName name="solver_rhs1" localSheetId="11" hidden="1">'B9-Single Index Model'!$J$28</definedName>
    <definedName name="solver_rhs2" localSheetId="1" hidden="1">1</definedName>
    <definedName name="solver_rhs2" localSheetId="3" hidden="1">'A3'!$C$39</definedName>
    <definedName name="solver_rhs2" localSheetId="7" hidden="1">1</definedName>
    <definedName name="solver_rhs2" localSheetId="6" hidden="1">1</definedName>
    <definedName name="solver_rhs2" localSheetId="8" hidden="1">1</definedName>
    <definedName name="solver_rhs2" localSheetId="9" hidden="1">'A7'!$C$41</definedName>
    <definedName name="solver_rhs2" localSheetId="11" hidden="1">1</definedName>
    <definedName name="solver_rhs3" localSheetId="1" hidden="1">1</definedName>
    <definedName name="solver_rhs3" localSheetId="3" hidden="1">0</definedName>
    <definedName name="solver_rhs4" localSheetId="1" hidden="1">1</definedName>
    <definedName name="solver_rhs4" localSheetId="3" hidden="1">0</definedName>
    <definedName name="solver_rhs5" localSheetId="1" hidden="1">1</definedName>
    <definedName name="solver_rhs5" localSheetId="3" hidden="1">0</definedName>
    <definedName name="solver_rhs6" localSheetId="1" hidden="1">1</definedName>
    <definedName name="solver_rhs6" localSheetId="3" hidden="1">0</definedName>
    <definedName name="solver_rhs7" localSheetId="1" hidden="1">1</definedName>
    <definedName name="solver_rhs7" localSheetId="3" hidden="1">1</definedName>
    <definedName name="solver_rlx" localSheetId="1" hidden="1">2</definedName>
    <definedName name="solver_rlx" localSheetId="3" hidden="1">2</definedName>
    <definedName name="solver_rlx" localSheetId="7" hidden="1">2</definedName>
    <definedName name="solver_rlx" localSheetId="6" hidden="1">2</definedName>
    <definedName name="solver_rlx" localSheetId="8" hidden="1">2</definedName>
    <definedName name="solver_rlx" localSheetId="9" hidden="1">2</definedName>
    <definedName name="solver_rlx" localSheetId="11" hidden="1">2</definedName>
    <definedName name="solver_rsd" localSheetId="1" hidden="1">0</definedName>
    <definedName name="solver_rsd" localSheetId="3" hidden="1">0</definedName>
    <definedName name="solver_rsd" localSheetId="7" hidden="1">0</definedName>
    <definedName name="solver_rsd" localSheetId="6" hidden="1">0</definedName>
    <definedName name="solver_rsd" localSheetId="8" hidden="1">0</definedName>
    <definedName name="solver_rsd" localSheetId="9" hidden="1">0</definedName>
    <definedName name="solver_rsd" localSheetId="11" hidden="1">0</definedName>
    <definedName name="solver_scl" localSheetId="1" hidden="1">1</definedName>
    <definedName name="solver_scl" localSheetId="3" hidden="1">1</definedName>
    <definedName name="solver_scl" localSheetId="7" hidden="1">2</definedName>
    <definedName name="solver_scl" localSheetId="6" hidden="1">1</definedName>
    <definedName name="solver_scl" localSheetId="8" hidden="1">1</definedName>
    <definedName name="solver_scl" localSheetId="9" hidden="1">2</definedName>
    <definedName name="solver_scl" localSheetId="11" hidden="1">1</definedName>
    <definedName name="solver_sho" localSheetId="1" hidden="1">2</definedName>
    <definedName name="solver_sho" localSheetId="3" hidden="1">2</definedName>
    <definedName name="solver_sho" localSheetId="7" hidden="1">2</definedName>
    <definedName name="solver_sho" localSheetId="6" hidden="1">2</definedName>
    <definedName name="solver_sho" localSheetId="8" hidden="1">2</definedName>
    <definedName name="solver_sho" localSheetId="9" hidden="1">2</definedName>
    <definedName name="solver_sho" localSheetId="11" hidden="1">2</definedName>
    <definedName name="solver_ssz" localSheetId="1" hidden="1">100</definedName>
    <definedName name="solver_ssz" localSheetId="3" hidden="1">100</definedName>
    <definedName name="solver_ssz" localSheetId="7" hidden="1">100</definedName>
    <definedName name="solver_ssz" localSheetId="6" hidden="1">100</definedName>
    <definedName name="solver_ssz" localSheetId="8" hidden="1">100</definedName>
    <definedName name="solver_ssz" localSheetId="9" hidden="1">100</definedName>
    <definedName name="solver_ssz" localSheetId="11" hidden="1">100</definedName>
    <definedName name="solver_tim" localSheetId="1" hidden="1">2147483647</definedName>
    <definedName name="solver_tim" localSheetId="3" hidden="1">2147483647</definedName>
    <definedName name="solver_tim" localSheetId="7" hidden="1">2147483647</definedName>
    <definedName name="solver_tim" localSheetId="6" hidden="1">2147483647</definedName>
    <definedName name="solver_tim" localSheetId="8" hidden="1">2147483647</definedName>
    <definedName name="solver_tim" localSheetId="9" hidden="1">2147483647</definedName>
    <definedName name="solver_tim" localSheetId="11" hidden="1">2147483647</definedName>
    <definedName name="solver_tol" localSheetId="1" hidden="1">0.01</definedName>
    <definedName name="solver_tol" localSheetId="3" hidden="1">0.01</definedName>
    <definedName name="solver_tol" localSheetId="7" hidden="1">0.01</definedName>
    <definedName name="solver_tol" localSheetId="6" hidden="1">0.01</definedName>
    <definedName name="solver_tol" localSheetId="8" hidden="1">0.01</definedName>
    <definedName name="solver_tol" localSheetId="9" hidden="1">0.01</definedName>
    <definedName name="solver_tol" localSheetId="11" hidden="1">0.01</definedName>
    <definedName name="solver_typ" localSheetId="2" hidden="1">1</definedName>
    <definedName name="solver_typ" localSheetId="1" hidden="1">2</definedName>
    <definedName name="solver_typ" localSheetId="3" hidden="1">1</definedName>
    <definedName name="solver_typ" localSheetId="7" hidden="1">1</definedName>
    <definedName name="solver_typ" localSheetId="6" hidden="1">1</definedName>
    <definedName name="solver_typ" localSheetId="8" hidden="1">1</definedName>
    <definedName name="solver_typ" localSheetId="9" hidden="1">1</definedName>
    <definedName name="solver_typ" localSheetId="10" hidden="1">1</definedName>
    <definedName name="solver_typ" localSheetId="11" hidden="1">1</definedName>
    <definedName name="solver_val" localSheetId="2" hidden="1">0</definedName>
    <definedName name="solver_val" localSheetId="1" hidden="1">0</definedName>
    <definedName name="solver_val" localSheetId="3" hidden="1">0</definedName>
    <definedName name="solver_val" localSheetId="7" hidden="1">0</definedName>
    <definedName name="solver_val" localSheetId="6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er" localSheetId="2" hidden="1">3</definedName>
    <definedName name="solver_ver" localSheetId="1" hidden="1">3</definedName>
    <definedName name="solver_ver" localSheetId="3" hidden="1">3</definedName>
    <definedName name="solver_ver" localSheetId="7" hidden="1">3</definedName>
    <definedName name="solver_ver" localSheetId="6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4" i="1"/>
  <c r="F8" i="27"/>
  <c r="AV3" i="2"/>
  <c r="AW3" i="2"/>
  <c r="F6" i="27"/>
  <c r="F5" i="27"/>
  <c r="F4" i="27"/>
  <c r="E25" i="15"/>
  <c r="B74" i="12"/>
  <c r="C71" i="12"/>
  <c r="C54" i="11"/>
  <c r="D55" i="11"/>
  <c r="O20" i="1"/>
  <c r="F20" i="11" a="1"/>
  <c r="F20" i="11" s="1"/>
  <c r="K41" i="1"/>
  <c r="K39" i="1"/>
  <c r="K38" i="1"/>
  <c r="K37" i="1"/>
  <c r="K36" i="1"/>
  <c r="K35" i="1"/>
  <c r="K34" i="1"/>
  <c r="K33" i="1"/>
  <c r="K32" i="1"/>
  <c r="K31" i="1"/>
  <c r="K29" i="11"/>
  <c r="D51" i="9"/>
  <c r="F7" i="27"/>
  <c r="C146" i="26" l="1"/>
  <c r="B146" i="26"/>
  <c r="C146" i="25"/>
  <c r="B146" i="25"/>
  <c r="C146" i="24"/>
  <c r="B146" i="24"/>
  <c r="C146" i="22"/>
  <c r="B146" i="22"/>
  <c r="C146" i="23"/>
  <c r="B146" i="23"/>
  <c r="D25" i="16"/>
  <c r="D25" i="15"/>
  <c r="F26" i="1"/>
  <c r="F25" i="1"/>
  <c r="F24" i="1"/>
  <c r="F23" i="1"/>
  <c r="F22" i="1"/>
  <c r="F21" i="1"/>
  <c r="F20" i="1"/>
  <c r="F19" i="1"/>
  <c r="F18" i="1"/>
  <c r="F17" i="1"/>
  <c r="C56" i="11"/>
  <c r="C55" i="11"/>
  <c r="C54" i="12"/>
  <c r="E55" i="12"/>
  <c r="C23" i="12"/>
  <c r="C23" i="11"/>
  <c r="F18" i="11"/>
  <c r="D56" i="11"/>
  <c r="D54" i="11"/>
  <c r="F18" i="9"/>
  <c r="P16" i="10"/>
  <c r="F18" i="3"/>
  <c r="K36" i="11" l="1"/>
  <c r="AH3" i="2"/>
  <c r="AM3" i="2"/>
  <c r="AR3" i="2"/>
  <c r="AC3" i="2"/>
  <c r="X3" i="2"/>
  <c r="S3" i="2"/>
  <c r="N3" i="2"/>
  <c r="I3" i="2"/>
  <c r="D3" i="2"/>
  <c r="C55" i="12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P3" i="13"/>
  <c r="N3" i="13"/>
  <c r="D56" i="12"/>
  <c r="E56" i="12" s="1"/>
  <c r="D55" i="12"/>
  <c r="D54" i="12"/>
  <c r="E54" i="12" s="1"/>
  <c r="F20" i="12" a="1"/>
  <c r="F20" i="12" s="1"/>
  <c r="F22" i="12" s="1"/>
  <c r="C19" i="12"/>
  <c r="F18" i="12"/>
  <c r="C18" i="12"/>
  <c r="C17" i="12"/>
  <c r="K16" i="12"/>
  <c r="C16" i="12"/>
  <c r="C15" i="12"/>
  <c r="K35" i="11"/>
  <c r="K34" i="11"/>
  <c r="K33" i="11"/>
  <c r="K32" i="11"/>
  <c r="K31" i="11"/>
  <c r="K38" i="11"/>
  <c r="F22" i="11"/>
  <c r="J18" i="11" s="1"/>
  <c r="C19" i="11"/>
  <c r="C18" i="11"/>
  <c r="C17" i="11"/>
  <c r="K16" i="11"/>
  <c r="C16" i="11"/>
  <c r="C15" i="11"/>
  <c r="B11" i="1" l="1" a="1"/>
  <c r="B9" i="13" a="1"/>
  <c r="B9" i="13" s="1"/>
  <c r="B10" i="1" a="1"/>
  <c r="B8" i="13" a="1"/>
  <c r="B8" i="13" s="1"/>
  <c r="B9" i="1" a="1"/>
  <c r="B7" i="13" a="1"/>
  <c r="B7" i="13" s="1"/>
  <c r="B8" i="1" a="1"/>
  <c r="B8" i="1" s="1"/>
  <c r="B6" i="13" a="1"/>
  <c r="B6" i="13" s="1"/>
  <c r="B4" i="13" a="1"/>
  <c r="B4" i="13" s="1"/>
  <c r="B7" i="1" a="1"/>
  <c r="B7" i="1" s="1"/>
  <c r="B13" i="13" a="1"/>
  <c r="B13" i="13" s="1"/>
  <c r="B5" i="13" a="1"/>
  <c r="B5" i="13" s="1"/>
  <c r="B12" i="13" a="1"/>
  <c r="B12" i="13" s="1"/>
  <c r="B6" i="1" a="1"/>
  <c r="B6" i="1" s="1"/>
  <c r="B13" i="1" a="1"/>
  <c r="B5" i="1" a="1"/>
  <c r="B5" i="1" s="1"/>
  <c r="B11" i="13" a="1"/>
  <c r="B11" i="13" s="1"/>
  <c r="B12" i="1" a="1"/>
  <c r="B4" i="1" a="1"/>
  <c r="B4" i="1" s="1"/>
  <c r="B10" i="13" a="1"/>
  <c r="B10" i="13" s="1"/>
  <c r="K32" i="12"/>
  <c r="K33" i="12"/>
  <c r="K35" i="12"/>
  <c r="K31" i="12"/>
  <c r="K34" i="12"/>
  <c r="R3" i="13"/>
  <c r="O3" i="13"/>
  <c r="Q3" i="13"/>
  <c r="K36" i="12"/>
  <c r="K30" i="12"/>
  <c r="K38" i="12"/>
  <c r="C56" i="12"/>
  <c r="K29" i="12"/>
  <c r="K37" i="12"/>
  <c r="K37" i="11"/>
  <c r="K30" i="11"/>
  <c r="B12" i="1" l="1"/>
  <c r="J7" i="1" s="1"/>
  <c r="B13" i="1"/>
  <c r="N17" i="1" s="1"/>
  <c r="L8" i="1" s="1"/>
  <c r="B9" i="1"/>
  <c r="B10" i="1"/>
  <c r="J5" i="1" s="1"/>
  <c r="B11" i="1"/>
  <c r="L15" i="1" s="1"/>
  <c r="L6" i="1" s="1"/>
  <c r="D74" i="12"/>
  <c r="J6" i="1" l="1"/>
  <c r="J8" i="1"/>
  <c r="J14" i="1"/>
  <c r="K14" i="1"/>
  <c r="L5" i="1" s="1"/>
  <c r="J13" i="1"/>
  <c r="M16" i="1"/>
  <c r="L7" i="1" s="1"/>
  <c r="M14" i="1"/>
  <c r="L14" i="1"/>
  <c r="N14" i="1"/>
  <c r="K17" i="1"/>
  <c r="K16" i="1"/>
  <c r="K15" i="1"/>
  <c r="N13" i="1"/>
  <c r="J15" i="1"/>
  <c r="J16" i="1"/>
  <c r="M13" i="1"/>
  <c r="K13" i="1"/>
  <c r="L13" i="1"/>
  <c r="J17" i="1"/>
  <c r="L17" i="1"/>
  <c r="N15" i="1"/>
  <c r="L16" i="1"/>
  <c r="N16" i="1"/>
  <c r="M17" i="1"/>
  <c r="M15" i="1"/>
  <c r="D24" i="10"/>
  <c r="D23" i="10"/>
  <c r="D22" i="10"/>
  <c r="D21" i="10"/>
  <c r="D20" i="10"/>
  <c r="D19" i="10"/>
  <c r="D17" i="10"/>
  <c r="G20" i="10" a="1"/>
  <c r="G20" i="10" s="1"/>
  <c r="G22" i="10" s="1"/>
  <c r="G18" i="10"/>
  <c r="D16" i="10"/>
  <c r="D15" i="10"/>
  <c r="F20" i="9" a="1"/>
  <c r="F20" i="9" s="1"/>
  <c r="F22" i="9" s="1"/>
  <c r="C19" i="9"/>
  <c r="C18" i="9"/>
  <c r="C17" i="9"/>
  <c r="K16" i="9"/>
  <c r="C16" i="9"/>
  <c r="C15" i="9"/>
  <c r="D37" i="8"/>
  <c r="D36" i="8"/>
  <c r="D35" i="8"/>
  <c r="D34" i="8"/>
  <c r="D33" i="8"/>
  <c r="D32" i="8"/>
  <c r="D31" i="8"/>
  <c r="D30" i="8"/>
  <c r="D29" i="8"/>
  <c r="D28" i="8"/>
  <c r="F20" i="8" a="1"/>
  <c r="F20" i="8" s="1"/>
  <c r="F22" i="8" s="1"/>
  <c r="C19" i="8"/>
  <c r="F18" i="8"/>
  <c r="C18" i="8"/>
  <c r="C17" i="8"/>
  <c r="K16" i="8"/>
  <c r="C16" i="8"/>
  <c r="C15" i="8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F20" i="7" a="1"/>
  <c r="F20" i="7" s="1"/>
  <c r="F22" i="7" s="1"/>
  <c r="Q63" i="7"/>
  <c r="C19" i="7"/>
  <c r="Q62" i="7"/>
  <c r="F18" i="7"/>
  <c r="C18" i="7"/>
  <c r="Q61" i="7"/>
  <c r="C17" i="7"/>
  <c r="Q60" i="7"/>
  <c r="K16" i="7"/>
  <c r="C16" i="7"/>
  <c r="Q59" i="7"/>
  <c r="C15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L4" i="1" l="1"/>
  <c r="J24" i="1" a="1"/>
  <c r="J24" i="1" s="1"/>
  <c r="J26" i="1" s="1"/>
  <c r="L22" i="1" s="1"/>
  <c r="S3" i="7"/>
  <c r="T3" i="7" s="1"/>
  <c r="R3" i="7"/>
  <c r="D37" i="5" l="1"/>
  <c r="D36" i="5"/>
  <c r="D35" i="5"/>
  <c r="D34" i="5"/>
  <c r="D33" i="5"/>
  <c r="D32" i="5"/>
  <c r="D31" i="5"/>
  <c r="D30" i="5"/>
  <c r="D29" i="5"/>
  <c r="D28" i="5"/>
  <c r="F20" i="5" a="1"/>
  <c r="F20" i="5" s="1"/>
  <c r="F22" i="5" s="1"/>
  <c r="C19" i="5"/>
  <c r="F18" i="5"/>
  <c r="C18" i="5"/>
  <c r="C17" i="5"/>
  <c r="K16" i="5"/>
  <c r="C16" i="5"/>
  <c r="C15" i="5"/>
  <c r="D74" i="4"/>
  <c r="B74" i="4"/>
  <c r="D73" i="4"/>
  <c r="B73" i="4"/>
  <c r="D72" i="4"/>
  <c r="B72" i="4"/>
  <c r="D71" i="4"/>
  <c r="B71" i="4"/>
  <c r="D70" i="4"/>
  <c r="B70" i="4"/>
  <c r="D69" i="4"/>
  <c r="B69" i="4"/>
  <c r="D68" i="4"/>
  <c r="B68" i="4"/>
  <c r="D67" i="4"/>
  <c r="B67" i="4"/>
  <c r="D66" i="4"/>
  <c r="B66" i="4"/>
  <c r="D65" i="4"/>
  <c r="B65" i="4"/>
  <c r="C37" i="4" a="1"/>
  <c r="C37" i="4" s="1"/>
  <c r="F31" i="4" a="1"/>
  <c r="F31" i="4" s="1"/>
  <c r="C45" i="4" s="1" a="1"/>
  <c r="C45" i="4" s="1"/>
  <c r="F25" i="4" a="1"/>
  <c r="F25" i="4" s="1"/>
  <c r="C19" i="4"/>
  <c r="C18" i="4"/>
  <c r="C17" i="4"/>
  <c r="C16" i="4"/>
  <c r="C15" i="4"/>
  <c r="F20" i="3" a="1"/>
  <c r="F20" i="3" s="1"/>
  <c r="F22" i="3" s="1"/>
  <c r="C19" i="3"/>
  <c r="C18" i="3"/>
  <c r="C17" i="3"/>
  <c r="K16" i="3"/>
  <c r="C16" i="3"/>
  <c r="C15" i="3"/>
  <c r="C43" i="4" l="1" a="1"/>
  <c r="C43" i="4" s="1"/>
  <c r="C44" i="4" a="1"/>
  <c r="C44" i="4" s="1"/>
  <c r="C62" i="4" s="1"/>
  <c r="C46" i="4"/>
  <c r="C55" i="4" s="1" a="1"/>
  <c r="C55" i="4" s="1"/>
  <c r="C49" i="4" l="1" a="1"/>
  <c r="C49" i="4" s="1"/>
  <c r="F49" i="4" s="1"/>
  <c r="C61" i="4"/>
  <c r="D62" i="4"/>
  <c r="J49" i="4"/>
  <c r="I49" i="4"/>
  <c r="H49" i="4"/>
  <c r="G49" i="4"/>
  <c r="K49" i="4" l="1"/>
  <c r="G129" i="2" l="1"/>
  <c r="AV121" i="2"/>
  <c r="AQ121" i="2"/>
  <c r="AL121" i="2"/>
  <c r="AG121" i="2"/>
  <c r="AB121" i="2"/>
  <c r="W121" i="2"/>
  <c r="R121" i="2"/>
  <c r="M121" i="2"/>
  <c r="H121" i="2"/>
  <c r="C121" i="2"/>
  <c r="AV120" i="2"/>
  <c r="AQ120" i="2"/>
  <c r="AL120" i="2"/>
  <c r="AG120" i="2"/>
  <c r="AB120" i="2"/>
  <c r="W120" i="2"/>
  <c r="R120" i="2"/>
  <c r="M120" i="2"/>
  <c r="H120" i="2"/>
  <c r="C120" i="2"/>
  <c r="AV119" i="2"/>
  <c r="AQ119" i="2"/>
  <c r="AL119" i="2"/>
  <c r="AG119" i="2"/>
  <c r="AB119" i="2"/>
  <c r="W119" i="2"/>
  <c r="R119" i="2"/>
  <c r="M119" i="2"/>
  <c r="H119" i="2"/>
  <c r="C119" i="2"/>
  <c r="AV118" i="2"/>
  <c r="AQ118" i="2"/>
  <c r="AL118" i="2"/>
  <c r="AG118" i="2"/>
  <c r="AB118" i="2"/>
  <c r="W118" i="2"/>
  <c r="R118" i="2"/>
  <c r="M118" i="2"/>
  <c r="H118" i="2"/>
  <c r="C118" i="2"/>
  <c r="AV117" i="2"/>
  <c r="AQ117" i="2"/>
  <c r="AL117" i="2"/>
  <c r="AG117" i="2"/>
  <c r="AB117" i="2"/>
  <c r="W117" i="2"/>
  <c r="R117" i="2"/>
  <c r="M117" i="2"/>
  <c r="H117" i="2"/>
  <c r="C117" i="2"/>
  <c r="AV116" i="2"/>
  <c r="AQ116" i="2"/>
  <c r="AL116" i="2"/>
  <c r="AG116" i="2"/>
  <c r="AB116" i="2"/>
  <c r="W116" i="2"/>
  <c r="R116" i="2"/>
  <c r="M116" i="2"/>
  <c r="H116" i="2"/>
  <c r="C116" i="2"/>
  <c r="AV115" i="2"/>
  <c r="AQ115" i="2"/>
  <c r="AL115" i="2"/>
  <c r="AG115" i="2"/>
  <c r="AB115" i="2"/>
  <c r="W115" i="2"/>
  <c r="R115" i="2"/>
  <c r="M115" i="2"/>
  <c r="H115" i="2"/>
  <c r="C115" i="2"/>
  <c r="AV114" i="2"/>
  <c r="AQ114" i="2"/>
  <c r="AL114" i="2"/>
  <c r="AG114" i="2"/>
  <c r="AB114" i="2"/>
  <c r="W114" i="2"/>
  <c r="R114" i="2"/>
  <c r="M114" i="2"/>
  <c r="H114" i="2"/>
  <c r="C114" i="2"/>
  <c r="AV113" i="2"/>
  <c r="AQ113" i="2"/>
  <c r="AL113" i="2"/>
  <c r="AG113" i="2"/>
  <c r="AB113" i="2"/>
  <c r="W113" i="2"/>
  <c r="R113" i="2"/>
  <c r="M113" i="2"/>
  <c r="H113" i="2"/>
  <c r="C113" i="2"/>
  <c r="AV112" i="2"/>
  <c r="AQ112" i="2"/>
  <c r="AL112" i="2"/>
  <c r="AG112" i="2"/>
  <c r="AB112" i="2"/>
  <c r="W112" i="2"/>
  <c r="R112" i="2"/>
  <c r="M112" i="2"/>
  <c r="H112" i="2"/>
  <c r="C112" i="2"/>
  <c r="AV111" i="2"/>
  <c r="AQ111" i="2"/>
  <c r="AL111" i="2"/>
  <c r="AG111" i="2"/>
  <c r="AB111" i="2"/>
  <c r="W111" i="2"/>
  <c r="R111" i="2"/>
  <c r="M111" i="2"/>
  <c r="H111" i="2"/>
  <c r="C111" i="2"/>
  <c r="AV110" i="2"/>
  <c r="AQ110" i="2"/>
  <c r="AL110" i="2"/>
  <c r="AG110" i="2"/>
  <c r="AB110" i="2"/>
  <c r="W110" i="2"/>
  <c r="R110" i="2"/>
  <c r="M110" i="2"/>
  <c r="H110" i="2"/>
  <c r="C110" i="2"/>
  <c r="AV109" i="2"/>
  <c r="AQ109" i="2"/>
  <c r="AL109" i="2"/>
  <c r="AG109" i="2"/>
  <c r="AB109" i="2"/>
  <c r="W109" i="2"/>
  <c r="R109" i="2"/>
  <c r="M109" i="2"/>
  <c r="H109" i="2"/>
  <c r="C109" i="2"/>
  <c r="AV108" i="2"/>
  <c r="AQ108" i="2"/>
  <c r="AL108" i="2"/>
  <c r="AG108" i="2"/>
  <c r="AB108" i="2"/>
  <c r="W108" i="2"/>
  <c r="R108" i="2"/>
  <c r="M108" i="2"/>
  <c r="H108" i="2"/>
  <c r="C108" i="2"/>
  <c r="AV107" i="2"/>
  <c r="AQ107" i="2"/>
  <c r="AL107" i="2"/>
  <c r="AG107" i="2"/>
  <c r="AB107" i="2"/>
  <c r="W107" i="2"/>
  <c r="R107" i="2"/>
  <c r="M107" i="2"/>
  <c r="H107" i="2"/>
  <c r="C107" i="2"/>
  <c r="AV106" i="2"/>
  <c r="AQ106" i="2"/>
  <c r="AL106" i="2"/>
  <c r="AG106" i="2"/>
  <c r="AB106" i="2"/>
  <c r="W106" i="2"/>
  <c r="R106" i="2"/>
  <c r="M106" i="2"/>
  <c r="H106" i="2"/>
  <c r="C106" i="2"/>
  <c r="AV105" i="2"/>
  <c r="AQ105" i="2"/>
  <c r="AL105" i="2"/>
  <c r="AG105" i="2"/>
  <c r="AB105" i="2"/>
  <c r="W105" i="2"/>
  <c r="R105" i="2"/>
  <c r="M105" i="2"/>
  <c r="H105" i="2"/>
  <c r="C105" i="2"/>
  <c r="AV104" i="2"/>
  <c r="AQ104" i="2"/>
  <c r="AL104" i="2"/>
  <c r="AG104" i="2"/>
  <c r="AB104" i="2"/>
  <c r="W104" i="2"/>
  <c r="R104" i="2"/>
  <c r="M104" i="2"/>
  <c r="H104" i="2"/>
  <c r="C104" i="2"/>
  <c r="AV103" i="2"/>
  <c r="AQ103" i="2"/>
  <c r="AL103" i="2"/>
  <c r="AG103" i="2"/>
  <c r="AB103" i="2"/>
  <c r="W103" i="2"/>
  <c r="R103" i="2"/>
  <c r="M103" i="2"/>
  <c r="H103" i="2"/>
  <c r="C103" i="2"/>
  <c r="AV102" i="2"/>
  <c r="AQ102" i="2"/>
  <c r="AL102" i="2"/>
  <c r="AG102" i="2"/>
  <c r="AB102" i="2"/>
  <c r="W102" i="2"/>
  <c r="R102" i="2"/>
  <c r="M102" i="2"/>
  <c r="H102" i="2"/>
  <c r="C102" i="2"/>
  <c r="AV101" i="2"/>
  <c r="AQ101" i="2"/>
  <c r="AL101" i="2"/>
  <c r="AG101" i="2"/>
  <c r="AB101" i="2"/>
  <c r="W101" i="2"/>
  <c r="R101" i="2"/>
  <c r="M101" i="2"/>
  <c r="H101" i="2"/>
  <c r="C101" i="2"/>
  <c r="AV100" i="2"/>
  <c r="AQ100" i="2"/>
  <c r="AL100" i="2"/>
  <c r="AG100" i="2"/>
  <c r="AB100" i="2"/>
  <c r="W100" i="2"/>
  <c r="R100" i="2"/>
  <c r="M100" i="2"/>
  <c r="H100" i="2"/>
  <c r="C100" i="2"/>
  <c r="AV99" i="2"/>
  <c r="AQ99" i="2"/>
  <c r="AL99" i="2"/>
  <c r="AG99" i="2"/>
  <c r="AB99" i="2"/>
  <c r="W99" i="2"/>
  <c r="R99" i="2"/>
  <c r="M99" i="2"/>
  <c r="H99" i="2"/>
  <c r="C99" i="2"/>
  <c r="AV98" i="2"/>
  <c r="AQ98" i="2"/>
  <c r="AL98" i="2"/>
  <c r="AG98" i="2"/>
  <c r="AB98" i="2"/>
  <c r="W98" i="2"/>
  <c r="R98" i="2"/>
  <c r="M98" i="2"/>
  <c r="H98" i="2"/>
  <c r="C98" i="2"/>
  <c r="AV97" i="2"/>
  <c r="AQ97" i="2"/>
  <c r="AL97" i="2"/>
  <c r="AG97" i="2"/>
  <c r="AB97" i="2"/>
  <c r="W97" i="2"/>
  <c r="R97" i="2"/>
  <c r="M97" i="2"/>
  <c r="H97" i="2"/>
  <c r="C97" i="2"/>
  <c r="AV96" i="2"/>
  <c r="AQ96" i="2"/>
  <c r="AL96" i="2"/>
  <c r="AG96" i="2"/>
  <c r="AB96" i="2"/>
  <c r="W96" i="2"/>
  <c r="R96" i="2"/>
  <c r="M96" i="2"/>
  <c r="H96" i="2"/>
  <c r="C96" i="2"/>
  <c r="AV95" i="2"/>
  <c r="AQ95" i="2"/>
  <c r="AL95" i="2"/>
  <c r="AG95" i="2"/>
  <c r="AB95" i="2"/>
  <c r="W95" i="2"/>
  <c r="R95" i="2"/>
  <c r="M95" i="2"/>
  <c r="H95" i="2"/>
  <c r="C95" i="2"/>
  <c r="AV94" i="2"/>
  <c r="AQ94" i="2"/>
  <c r="AL94" i="2"/>
  <c r="AG94" i="2"/>
  <c r="AB94" i="2"/>
  <c r="W94" i="2"/>
  <c r="R94" i="2"/>
  <c r="M94" i="2"/>
  <c r="H94" i="2"/>
  <c r="C94" i="2"/>
  <c r="AV93" i="2"/>
  <c r="AQ93" i="2"/>
  <c r="AL93" i="2"/>
  <c r="AG93" i="2"/>
  <c r="AB93" i="2"/>
  <c r="W93" i="2"/>
  <c r="R93" i="2"/>
  <c r="M93" i="2"/>
  <c r="H93" i="2"/>
  <c r="C93" i="2"/>
  <c r="AV92" i="2"/>
  <c r="AQ92" i="2"/>
  <c r="AL92" i="2"/>
  <c r="AG92" i="2"/>
  <c r="AB92" i="2"/>
  <c r="W92" i="2"/>
  <c r="R92" i="2"/>
  <c r="M92" i="2"/>
  <c r="H92" i="2"/>
  <c r="C92" i="2"/>
  <c r="AV91" i="2"/>
  <c r="AQ91" i="2"/>
  <c r="AL91" i="2"/>
  <c r="AG91" i="2"/>
  <c r="AB91" i="2"/>
  <c r="W91" i="2"/>
  <c r="R91" i="2"/>
  <c r="M91" i="2"/>
  <c r="H91" i="2"/>
  <c r="C91" i="2"/>
  <c r="AV90" i="2"/>
  <c r="AQ90" i="2"/>
  <c r="AL90" i="2"/>
  <c r="AG90" i="2"/>
  <c r="AB90" i="2"/>
  <c r="W90" i="2"/>
  <c r="R90" i="2"/>
  <c r="M90" i="2"/>
  <c r="H90" i="2"/>
  <c r="C90" i="2"/>
  <c r="AV89" i="2"/>
  <c r="AQ89" i="2"/>
  <c r="AL89" i="2"/>
  <c r="AG89" i="2"/>
  <c r="AB89" i="2"/>
  <c r="W89" i="2"/>
  <c r="R89" i="2"/>
  <c r="M89" i="2"/>
  <c r="H89" i="2"/>
  <c r="C89" i="2"/>
  <c r="AV88" i="2"/>
  <c r="AQ88" i="2"/>
  <c r="AL88" i="2"/>
  <c r="AG88" i="2"/>
  <c r="AB88" i="2"/>
  <c r="W88" i="2"/>
  <c r="R88" i="2"/>
  <c r="M88" i="2"/>
  <c r="H88" i="2"/>
  <c r="C88" i="2"/>
  <c r="AV87" i="2"/>
  <c r="AQ87" i="2"/>
  <c r="AL87" i="2"/>
  <c r="AG87" i="2"/>
  <c r="AB87" i="2"/>
  <c r="W87" i="2"/>
  <c r="R87" i="2"/>
  <c r="M87" i="2"/>
  <c r="H87" i="2"/>
  <c r="C87" i="2"/>
  <c r="AV86" i="2"/>
  <c r="AQ86" i="2"/>
  <c r="AL86" i="2"/>
  <c r="AG86" i="2"/>
  <c r="AB86" i="2"/>
  <c r="W86" i="2"/>
  <c r="R86" i="2"/>
  <c r="M86" i="2"/>
  <c r="H86" i="2"/>
  <c r="C86" i="2"/>
  <c r="AV85" i="2"/>
  <c r="AQ85" i="2"/>
  <c r="AL85" i="2"/>
  <c r="AG85" i="2"/>
  <c r="AB85" i="2"/>
  <c r="W85" i="2"/>
  <c r="R85" i="2"/>
  <c r="M85" i="2"/>
  <c r="H85" i="2"/>
  <c r="C85" i="2"/>
  <c r="AV84" i="2"/>
  <c r="AQ84" i="2"/>
  <c r="AL84" i="2"/>
  <c r="AG84" i="2"/>
  <c r="AB84" i="2"/>
  <c r="W84" i="2"/>
  <c r="R84" i="2"/>
  <c r="M84" i="2"/>
  <c r="H84" i="2"/>
  <c r="C84" i="2"/>
  <c r="AV83" i="2"/>
  <c r="AQ83" i="2"/>
  <c r="AL83" i="2"/>
  <c r="AG83" i="2"/>
  <c r="AB83" i="2"/>
  <c r="W83" i="2"/>
  <c r="R83" i="2"/>
  <c r="M83" i="2"/>
  <c r="H83" i="2"/>
  <c r="C83" i="2"/>
  <c r="AV82" i="2"/>
  <c r="AQ82" i="2"/>
  <c r="AL82" i="2"/>
  <c r="AG82" i="2"/>
  <c r="AB82" i="2"/>
  <c r="W82" i="2"/>
  <c r="R82" i="2"/>
  <c r="M82" i="2"/>
  <c r="H82" i="2"/>
  <c r="C82" i="2"/>
  <c r="AV81" i="2"/>
  <c r="AQ81" i="2"/>
  <c r="AL81" i="2"/>
  <c r="AG81" i="2"/>
  <c r="AB81" i="2"/>
  <c r="W81" i="2"/>
  <c r="R81" i="2"/>
  <c r="M81" i="2"/>
  <c r="H81" i="2"/>
  <c r="C81" i="2"/>
  <c r="AV80" i="2"/>
  <c r="AQ80" i="2"/>
  <c r="AL80" i="2"/>
  <c r="AG80" i="2"/>
  <c r="AB80" i="2"/>
  <c r="W80" i="2"/>
  <c r="R80" i="2"/>
  <c r="M80" i="2"/>
  <c r="H80" i="2"/>
  <c r="C80" i="2"/>
  <c r="AV79" i="2"/>
  <c r="AQ79" i="2"/>
  <c r="AL79" i="2"/>
  <c r="AG79" i="2"/>
  <c r="AB79" i="2"/>
  <c r="W79" i="2"/>
  <c r="R79" i="2"/>
  <c r="M79" i="2"/>
  <c r="H79" i="2"/>
  <c r="C79" i="2"/>
  <c r="AV78" i="2"/>
  <c r="AQ78" i="2"/>
  <c r="AL78" i="2"/>
  <c r="AG78" i="2"/>
  <c r="AB78" i="2"/>
  <c r="W78" i="2"/>
  <c r="R78" i="2"/>
  <c r="M78" i="2"/>
  <c r="H78" i="2"/>
  <c r="C78" i="2"/>
  <c r="AV77" i="2"/>
  <c r="AQ77" i="2"/>
  <c r="AL77" i="2"/>
  <c r="AG77" i="2"/>
  <c r="AB77" i="2"/>
  <c r="W77" i="2"/>
  <c r="R77" i="2"/>
  <c r="M77" i="2"/>
  <c r="H77" i="2"/>
  <c r="C77" i="2"/>
  <c r="AV76" i="2"/>
  <c r="AQ76" i="2"/>
  <c r="AL76" i="2"/>
  <c r="AG76" i="2"/>
  <c r="AB76" i="2"/>
  <c r="W76" i="2"/>
  <c r="R76" i="2"/>
  <c r="M76" i="2"/>
  <c r="H76" i="2"/>
  <c r="C76" i="2"/>
  <c r="AV75" i="2"/>
  <c r="AQ75" i="2"/>
  <c r="AL75" i="2"/>
  <c r="AG75" i="2"/>
  <c r="AB75" i="2"/>
  <c r="W75" i="2"/>
  <c r="R75" i="2"/>
  <c r="M75" i="2"/>
  <c r="H75" i="2"/>
  <c r="C75" i="2"/>
  <c r="AV74" i="2"/>
  <c r="AQ74" i="2"/>
  <c r="AL74" i="2"/>
  <c r="AG74" i="2"/>
  <c r="AB74" i="2"/>
  <c r="W74" i="2"/>
  <c r="R74" i="2"/>
  <c r="M74" i="2"/>
  <c r="H74" i="2"/>
  <c r="C74" i="2"/>
  <c r="AV73" i="2"/>
  <c r="AQ73" i="2"/>
  <c r="AL73" i="2"/>
  <c r="AG73" i="2"/>
  <c r="AB73" i="2"/>
  <c r="W73" i="2"/>
  <c r="R73" i="2"/>
  <c r="M73" i="2"/>
  <c r="H73" i="2"/>
  <c r="C73" i="2"/>
  <c r="AV72" i="2"/>
  <c r="AQ72" i="2"/>
  <c r="AL72" i="2"/>
  <c r="AG72" i="2"/>
  <c r="AB72" i="2"/>
  <c r="W72" i="2"/>
  <c r="R72" i="2"/>
  <c r="M72" i="2"/>
  <c r="H72" i="2"/>
  <c r="C72" i="2"/>
  <c r="AV71" i="2"/>
  <c r="AQ71" i="2"/>
  <c r="AL71" i="2"/>
  <c r="AG71" i="2"/>
  <c r="AB71" i="2"/>
  <c r="W71" i="2"/>
  <c r="R71" i="2"/>
  <c r="M71" i="2"/>
  <c r="H71" i="2"/>
  <c r="C71" i="2"/>
  <c r="AV70" i="2"/>
  <c r="AQ70" i="2"/>
  <c r="AL70" i="2"/>
  <c r="AG70" i="2"/>
  <c r="AB70" i="2"/>
  <c r="W70" i="2"/>
  <c r="R70" i="2"/>
  <c r="M70" i="2"/>
  <c r="H70" i="2"/>
  <c r="C70" i="2"/>
  <c r="AV69" i="2"/>
  <c r="AQ69" i="2"/>
  <c r="AL69" i="2"/>
  <c r="AG69" i="2"/>
  <c r="AB69" i="2"/>
  <c r="W69" i="2"/>
  <c r="R69" i="2"/>
  <c r="M69" i="2"/>
  <c r="H69" i="2"/>
  <c r="C69" i="2"/>
  <c r="AV68" i="2"/>
  <c r="AQ68" i="2"/>
  <c r="AL68" i="2"/>
  <c r="AG68" i="2"/>
  <c r="AB68" i="2"/>
  <c r="W68" i="2"/>
  <c r="R68" i="2"/>
  <c r="M68" i="2"/>
  <c r="H68" i="2"/>
  <c r="C68" i="2"/>
  <c r="AV67" i="2"/>
  <c r="AQ67" i="2"/>
  <c r="AL67" i="2"/>
  <c r="AG67" i="2"/>
  <c r="AB67" i="2"/>
  <c r="W67" i="2"/>
  <c r="R67" i="2"/>
  <c r="M67" i="2"/>
  <c r="H67" i="2"/>
  <c r="C67" i="2"/>
  <c r="AV66" i="2"/>
  <c r="AQ66" i="2"/>
  <c r="AL66" i="2"/>
  <c r="AG66" i="2"/>
  <c r="AB66" i="2"/>
  <c r="W66" i="2"/>
  <c r="R66" i="2"/>
  <c r="M66" i="2"/>
  <c r="H66" i="2"/>
  <c r="C66" i="2"/>
  <c r="AV65" i="2"/>
  <c r="AQ65" i="2"/>
  <c r="AL65" i="2"/>
  <c r="AG65" i="2"/>
  <c r="AB65" i="2"/>
  <c r="W65" i="2"/>
  <c r="R65" i="2"/>
  <c r="M65" i="2"/>
  <c r="H65" i="2"/>
  <c r="C65" i="2"/>
  <c r="AV64" i="2"/>
  <c r="AQ64" i="2"/>
  <c r="AL64" i="2"/>
  <c r="AG64" i="2"/>
  <c r="AB64" i="2"/>
  <c r="W64" i="2"/>
  <c r="R64" i="2"/>
  <c r="M64" i="2"/>
  <c r="H64" i="2"/>
  <c r="C64" i="2"/>
  <c r="AV63" i="2"/>
  <c r="AQ63" i="2"/>
  <c r="AL63" i="2"/>
  <c r="AG63" i="2"/>
  <c r="AB63" i="2"/>
  <c r="W63" i="2"/>
  <c r="R63" i="2"/>
  <c r="M63" i="2"/>
  <c r="H63" i="2"/>
  <c r="C63" i="2"/>
  <c r="AV62" i="2"/>
  <c r="AQ62" i="2"/>
  <c r="AL62" i="2"/>
  <c r="AG62" i="2"/>
  <c r="AB62" i="2"/>
  <c r="W62" i="2"/>
  <c r="R62" i="2"/>
  <c r="M62" i="2"/>
  <c r="H62" i="2"/>
  <c r="C62" i="2"/>
  <c r="AV61" i="2"/>
  <c r="AQ61" i="2"/>
  <c r="AL61" i="2"/>
  <c r="AG61" i="2"/>
  <c r="AB61" i="2"/>
  <c r="W61" i="2"/>
  <c r="R61" i="2"/>
  <c r="M61" i="2"/>
  <c r="H61" i="2"/>
  <c r="C61" i="2"/>
  <c r="AV60" i="2"/>
  <c r="AQ60" i="2"/>
  <c r="AL60" i="2"/>
  <c r="AG60" i="2"/>
  <c r="AB60" i="2"/>
  <c r="W60" i="2"/>
  <c r="R60" i="2"/>
  <c r="M60" i="2"/>
  <c r="H60" i="2"/>
  <c r="C60" i="2"/>
  <c r="AV59" i="2"/>
  <c r="AQ59" i="2"/>
  <c r="AL59" i="2"/>
  <c r="AG59" i="2"/>
  <c r="AB59" i="2"/>
  <c r="W59" i="2"/>
  <c r="R59" i="2"/>
  <c r="M59" i="2"/>
  <c r="H59" i="2"/>
  <c r="C59" i="2"/>
  <c r="AV58" i="2"/>
  <c r="AQ58" i="2"/>
  <c r="AL58" i="2"/>
  <c r="AG58" i="2"/>
  <c r="AB58" i="2"/>
  <c r="W58" i="2"/>
  <c r="R58" i="2"/>
  <c r="M58" i="2"/>
  <c r="H58" i="2"/>
  <c r="C58" i="2"/>
  <c r="AV57" i="2"/>
  <c r="AQ57" i="2"/>
  <c r="AL57" i="2"/>
  <c r="AG57" i="2"/>
  <c r="AB57" i="2"/>
  <c r="W57" i="2"/>
  <c r="R57" i="2"/>
  <c r="M57" i="2"/>
  <c r="H57" i="2"/>
  <c r="C57" i="2"/>
  <c r="AV56" i="2"/>
  <c r="AQ56" i="2"/>
  <c r="AL56" i="2"/>
  <c r="AG56" i="2"/>
  <c r="AB56" i="2"/>
  <c r="W56" i="2"/>
  <c r="R56" i="2"/>
  <c r="M56" i="2"/>
  <c r="H56" i="2"/>
  <c r="C56" i="2"/>
  <c r="AV55" i="2"/>
  <c r="AQ55" i="2"/>
  <c r="AL55" i="2"/>
  <c r="AG55" i="2"/>
  <c r="AB55" i="2"/>
  <c r="W55" i="2"/>
  <c r="R55" i="2"/>
  <c r="M55" i="2"/>
  <c r="H55" i="2"/>
  <c r="C55" i="2"/>
  <c r="AV54" i="2"/>
  <c r="AQ54" i="2"/>
  <c r="AL54" i="2"/>
  <c r="AG54" i="2"/>
  <c r="AB54" i="2"/>
  <c r="W54" i="2"/>
  <c r="R54" i="2"/>
  <c r="M54" i="2"/>
  <c r="H54" i="2"/>
  <c r="C54" i="2"/>
  <c r="AV53" i="2"/>
  <c r="AQ53" i="2"/>
  <c r="AL53" i="2"/>
  <c r="AG53" i="2"/>
  <c r="AB53" i="2"/>
  <c r="W53" i="2"/>
  <c r="R53" i="2"/>
  <c r="M53" i="2"/>
  <c r="H53" i="2"/>
  <c r="C53" i="2"/>
  <c r="AV52" i="2"/>
  <c r="AQ52" i="2"/>
  <c r="AL52" i="2"/>
  <c r="AG52" i="2"/>
  <c r="AB52" i="2"/>
  <c r="W52" i="2"/>
  <c r="R52" i="2"/>
  <c r="M52" i="2"/>
  <c r="H52" i="2"/>
  <c r="C52" i="2"/>
  <c r="AV51" i="2"/>
  <c r="AQ51" i="2"/>
  <c r="AL51" i="2"/>
  <c r="AG51" i="2"/>
  <c r="AB51" i="2"/>
  <c r="W51" i="2"/>
  <c r="R51" i="2"/>
  <c r="M51" i="2"/>
  <c r="H51" i="2"/>
  <c r="C51" i="2"/>
  <c r="AV50" i="2"/>
  <c r="AQ50" i="2"/>
  <c r="AL50" i="2"/>
  <c r="AG50" i="2"/>
  <c r="AB50" i="2"/>
  <c r="W50" i="2"/>
  <c r="R50" i="2"/>
  <c r="M50" i="2"/>
  <c r="H50" i="2"/>
  <c r="C50" i="2"/>
  <c r="AV49" i="2"/>
  <c r="AQ49" i="2"/>
  <c r="AL49" i="2"/>
  <c r="AG49" i="2"/>
  <c r="AB49" i="2"/>
  <c r="W49" i="2"/>
  <c r="R49" i="2"/>
  <c r="M49" i="2"/>
  <c r="H49" i="2"/>
  <c r="C49" i="2"/>
  <c r="AV48" i="2"/>
  <c r="AQ48" i="2"/>
  <c r="AL48" i="2"/>
  <c r="AG48" i="2"/>
  <c r="AB48" i="2"/>
  <c r="W48" i="2"/>
  <c r="R48" i="2"/>
  <c r="M48" i="2"/>
  <c r="H48" i="2"/>
  <c r="C48" i="2"/>
  <c r="AV47" i="2"/>
  <c r="AQ47" i="2"/>
  <c r="AL47" i="2"/>
  <c r="AG47" i="2"/>
  <c r="AB47" i="2"/>
  <c r="W47" i="2"/>
  <c r="R47" i="2"/>
  <c r="M47" i="2"/>
  <c r="H47" i="2"/>
  <c r="C47" i="2"/>
  <c r="AV46" i="2"/>
  <c r="AQ46" i="2"/>
  <c r="AL46" i="2"/>
  <c r="AG46" i="2"/>
  <c r="AB46" i="2"/>
  <c r="W46" i="2"/>
  <c r="R46" i="2"/>
  <c r="M46" i="2"/>
  <c r="H46" i="2"/>
  <c r="C46" i="2"/>
  <c r="AV45" i="2"/>
  <c r="AQ45" i="2"/>
  <c r="AL45" i="2"/>
  <c r="AG45" i="2"/>
  <c r="AB45" i="2"/>
  <c r="W45" i="2"/>
  <c r="R45" i="2"/>
  <c r="M45" i="2"/>
  <c r="H45" i="2"/>
  <c r="C45" i="2"/>
  <c r="AV44" i="2"/>
  <c r="AQ44" i="2"/>
  <c r="AL44" i="2"/>
  <c r="AG44" i="2"/>
  <c r="AB44" i="2"/>
  <c r="W44" i="2"/>
  <c r="R44" i="2"/>
  <c r="M44" i="2"/>
  <c r="H44" i="2"/>
  <c r="C44" i="2"/>
  <c r="AV43" i="2"/>
  <c r="AQ43" i="2"/>
  <c r="AL43" i="2"/>
  <c r="AG43" i="2"/>
  <c r="AB43" i="2"/>
  <c r="W43" i="2"/>
  <c r="R43" i="2"/>
  <c r="M43" i="2"/>
  <c r="H43" i="2"/>
  <c r="C43" i="2"/>
  <c r="AV42" i="2"/>
  <c r="AQ42" i="2"/>
  <c r="AL42" i="2"/>
  <c r="AG42" i="2"/>
  <c r="AB42" i="2"/>
  <c r="W42" i="2"/>
  <c r="R42" i="2"/>
  <c r="M42" i="2"/>
  <c r="H42" i="2"/>
  <c r="C42" i="2"/>
  <c r="AV41" i="2"/>
  <c r="AQ41" i="2"/>
  <c r="AL41" i="2"/>
  <c r="AG41" i="2"/>
  <c r="AB41" i="2"/>
  <c r="W41" i="2"/>
  <c r="R41" i="2"/>
  <c r="M41" i="2"/>
  <c r="H41" i="2"/>
  <c r="C41" i="2"/>
  <c r="AV40" i="2"/>
  <c r="AQ40" i="2"/>
  <c r="AL40" i="2"/>
  <c r="AG40" i="2"/>
  <c r="AB40" i="2"/>
  <c r="W40" i="2"/>
  <c r="R40" i="2"/>
  <c r="M40" i="2"/>
  <c r="H40" i="2"/>
  <c r="C40" i="2"/>
  <c r="AV39" i="2"/>
  <c r="AQ39" i="2"/>
  <c r="AL39" i="2"/>
  <c r="AG39" i="2"/>
  <c r="AB39" i="2"/>
  <c r="W39" i="2"/>
  <c r="R39" i="2"/>
  <c r="M39" i="2"/>
  <c r="H39" i="2"/>
  <c r="C39" i="2"/>
  <c r="AV38" i="2"/>
  <c r="AQ38" i="2"/>
  <c r="AL38" i="2"/>
  <c r="AG38" i="2"/>
  <c r="AB38" i="2"/>
  <c r="W38" i="2"/>
  <c r="R38" i="2"/>
  <c r="M38" i="2"/>
  <c r="H38" i="2"/>
  <c r="C38" i="2"/>
  <c r="AV37" i="2"/>
  <c r="AQ37" i="2"/>
  <c r="AL37" i="2"/>
  <c r="AG37" i="2"/>
  <c r="AB37" i="2"/>
  <c r="W37" i="2"/>
  <c r="R37" i="2"/>
  <c r="M37" i="2"/>
  <c r="H37" i="2"/>
  <c r="C37" i="2"/>
  <c r="AV36" i="2"/>
  <c r="AQ36" i="2"/>
  <c r="AL36" i="2"/>
  <c r="AG36" i="2"/>
  <c r="AB36" i="2"/>
  <c r="W36" i="2"/>
  <c r="R36" i="2"/>
  <c r="M36" i="2"/>
  <c r="H36" i="2"/>
  <c r="C36" i="2"/>
  <c r="AV35" i="2"/>
  <c r="AQ35" i="2"/>
  <c r="AL35" i="2"/>
  <c r="AG35" i="2"/>
  <c r="AB35" i="2"/>
  <c r="W35" i="2"/>
  <c r="R35" i="2"/>
  <c r="M35" i="2"/>
  <c r="H35" i="2"/>
  <c r="C35" i="2"/>
  <c r="AV34" i="2"/>
  <c r="AQ34" i="2"/>
  <c r="AL34" i="2"/>
  <c r="AG34" i="2"/>
  <c r="AB34" i="2"/>
  <c r="W34" i="2"/>
  <c r="R34" i="2"/>
  <c r="M34" i="2"/>
  <c r="H34" i="2"/>
  <c r="C34" i="2"/>
  <c r="AV33" i="2"/>
  <c r="AQ33" i="2"/>
  <c r="AL33" i="2"/>
  <c r="AG33" i="2"/>
  <c r="AB33" i="2"/>
  <c r="W33" i="2"/>
  <c r="R33" i="2"/>
  <c r="M33" i="2"/>
  <c r="H33" i="2"/>
  <c r="C33" i="2"/>
  <c r="AV32" i="2"/>
  <c r="AQ32" i="2"/>
  <c r="AL32" i="2"/>
  <c r="AG32" i="2"/>
  <c r="AB32" i="2"/>
  <c r="W32" i="2"/>
  <c r="R32" i="2"/>
  <c r="M32" i="2"/>
  <c r="H32" i="2"/>
  <c r="C32" i="2"/>
  <c r="AV31" i="2"/>
  <c r="AQ31" i="2"/>
  <c r="AL31" i="2"/>
  <c r="AG31" i="2"/>
  <c r="AB31" i="2"/>
  <c r="W31" i="2"/>
  <c r="R31" i="2"/>
  <c r="M31" i="2"/>
  <c r="H31" i="2"/>
  <c r="C31" i="2"/>
  <c r="AV30" i="2"/>
  <c r="AQ30" i="2"/>
  <c r="AL30" i="2"/>
  <c r="AG30" i="2"/>
  <c r="AB30" i="2"/>
  <c r="W30" i="2"/>
  <c r="R30" i="2"/>
  <c r="M30" i="2"/>
  <c r="H30" i="2"/>
  <c r="C30" i="2"/>
  <c r="AV29" i="2"/>
  <c r="AQ29" i="2"/>
  <c r="AL29" i="2"/>
  <c r="AG29" i="2"/>
  <c r="AB29" i="2"/>
  <c r="W29" i="2"/>
  <c r="R29" i="2"/>
  <c r="M29" i="2"/>
  <c r="H29" i="2"/>
  <c r="C29" i="2"/>
  <c r="AV28" i="2"/>
  <c r="AQ28" i="2"/>
  <c r="AL28" i="2"/>
  <c r="AG28" i="2"/>
  <c r="AB28" i="2"/>
  <c r="W28" i="2"/>
  <c r="R28" i="2"/>
  <c r="M28" i="2"/>
  <c r="H28" i="2"/>
  <c r="C28" i="2"/>
  <c r="AV27" i="2"/>
  <c r="AQ27" i="2"/>
  <c r="AL27" i="2"/>
  <c r="AG27" i="2"/>
  <c r="AB27" i="2"/>
  <c r="W27" i="2"/>
  <c r="R27" i="2"/>
  <c r="M27" i="2"/>
  <c r="H27" i="2"/>
  <c r="C27" i="2"/>
  <c r="AV26" i="2"/>
  <c r="AQ26" i="2"/>
  <c r="AL26" i="2"/>
  <c r="AG26" i="2"/>
  <c r="AB26" i="2"/>
  <c r="W26" i="2"/>
  <c r="R26" i="2"/>
  <c r="M26" i="2"/>
  <c r="H26" i="2"/>
  <c r="C26" i="2"/>
  <c r="AV25" i="2"/>
  <c r="AQ25" i="2"/>
  <c r="AL25" i="2"/>
  <c r="AG25" i="2"/>
  <c r="AB25" i="2"/>
  <c r="W25" i="2"/>
  <c r="R25" i="2"/>
  <c r="M25" i="2"/>
  <c r="H25" i="2"/>
  <c r="C25" i="2"/>
  <c r="AV24" i="2"/>
  <c r="AQ24" i="2"/>
  <c r="AL24" i="2"/>
  <c r="AG24" i="2"/>
  <c r="AB24" i="2"/>
  <c r="W24" i="2"/>
  <c r="R24" i="2"/>
  <c r="M24" i="2"/>
  <c r="H24" i="2"/>
  <c r="C24" i="2"/>
  <c r="AV23" i="2"/>
  <c r="AQ23" i="2"/>
  <c r="AL23" i="2"/>
  <c r="AG23" i="2"/>
  <c r="AB23" i="2"/>
  <c r="W23" i="2"/>
  <c r="R23" i="2"/>
  <c r="M23" i="2"/>
  <c r="H23" i="2"/>
  <c r="C23" i="2"/>
  <c r="AV22" i="2"/>
  <c r="AQ22" i="2"/>
  <c r="AL22" i="2"/>
  <c r="AG22" i="2"/>
  <c r="AB22" i="2"/>
  <c r="W22" i="2"/>
  <c r="R22" i="2"/>
  <c r="M22" i="2"/>
  <c r="H22" i="2"/>
  <c r="C22" i="2"/>
  <c r="AV21" i="2"/>
  <c r="AQ21" i="2"/>
  <c r="AL21" i="2"/>
  <c r="AG21" i="2"/>
  <c r="AB21" i="2"/>
  <c r="W21" i="2"/>
  <c r="R21" i="2"/>
  <c r="M21" i="2"/>
  <c r="H21" i="2"/>
  <c r="C21" i="2"/>
  <c r="AV20" i="2"/>
  <c r="AQ20" i="2"/>
  <c r="AL20" i="2"/>
  <c r="AG20" i="2"/>
  <c r="AB20" i="2"/>
  <c r="W20" i="2"/>
  <c r="R20" i="2"/>
  <c r="M20" i="2"/>
  <c r="H20" i="2"/>
  <c r="C20" i="2"/>
  <c r="AV19" i="2"/>
  <c r="AQ19" i="2"/>
  <c r="AL19" i="2"/>
  <c r="AG19" i="2"/>
  <c r="AB19" i="2"/>
  <c r="W19" i="2"/>
  <c r="R19" i="2"/>
  <c r="M19" i="2"/>
  <c r="H19" i="2"/>
  <c r="C19" i="2"/>
  <c r="AV18" i="2"/>
  <c r="AQ18" i="2"/>
  <c r="AL18" i="2"/>
  <c r="AG18" i="2"/>
  <c r="AB18" i="2"/>
  <c r="W18" i="2"/>
  <c r="R18" i="2"/>
  <c r="M18" i="2"/>
  <c r="H18" i="2"/>
  <c r="C18" i="2"/>
  <c r="AV17" i="2"/>
  <c r="AQ17" i="2"/>
  <c r="AL17" i="2"/>
  <c r="AG17" i="2"/>
  <c r="AB17" i="2"/>
  <c r="W17" i="2"/>
  <c r="R17" i="2"/>
  <c r="M17" i="2"/>
  <c r="H17" i="2"/>
  <c r="C17" i="2"/>
  <c r="AV16" i="2"/>
  <c r="AQ16" i="2"/>
  <c r="AL16" i="2"/>
  <c r="AG16" i="2"/>
  <c r="AB16" i="2"/>
  <c r="W16" i="2"/>
  <c r="R16" i="2"/>
  <c r="M16" i="2"/>
  <c r="H16" i="2"/>
  <c r="C16" i="2"/>
  <c r="AV15" i="2"/>
  <c r="AQ15" i="2"/>
  <c r="AL15" i="2"/>
  <c r="AG15" i="2"/>
  <c r="AB15" i="2"/>
  <c r="W15" i="2"/>
  <c r="R15" i="2"/>
  <c r="M15" i="2"/>
  <c r="H15" i="2"/>
  <c r="C15" i="2"/>
  <c r="AV14" i="2"/>
  <c r="AQ14" i="2"/>
  <c r="AL14" i="2"/>
  <c r="AG14" i="2"/>
  <c r="AB14" i="2"/>
  <c r="W14" i="2"/>
  <c r="R14" i="2"/>
  <c r="M14" i="2"/>
  <c r="H14" i="2"/>
  <c r="C14" i="2"/>
  <c r="AV13" i="2"/>
  <c r="AQ13" i="2"/>
  <c r="AL13" i="2"/>
  <c r="AG13" i="2"/>
  <c r="AB13" i="2"/>
  <c r="W13" i="2"/>
  <c r="R13" i="2"/>
  <c r="M13" i="2"/>
  <c r="H13" i="2"/>
  <c r="C13" i="2"/>
  <c r="AV12" i="2"/>
  <c r="AQ12" i="2"/>
  <c r="AL12" i="2"/>
  <c r="AG12" i="2"/>
  <c r="AB12" i="2"/>
  <c r="W12" i="2"/>
  <c r="R12" i="2"/>
  <c r="M12" i="2"/>
  <c r="H12" i="2"/>
  <c r="C12" i="2"/>
  <c r="AV11" i="2"/>
  <c r="AQ11" i="2"/>
  <c r="AL11" i="2"/>
  <c r="AG11" i="2"/>
  <c r="AB11" i="2"/>
  <c r="W11" i="2"/>
  <c r="R11" i="2"/>
  <c r="M11" i="2"/>
  <c r="H11" i="2"/>
  <c r="C11" i="2"/>
  <c r="AV10" i="2"/>
  <c r="AQ10" i="2"/>
  <c r="AL10" i="2"/>
  <c r="AG10" i="2"/>
  <c r="AB10" i="2"/>
  <c r="W10" i="2"/>
  <c r="R10" i="2"/>
  <c r="M10" i="2"/>
  <c r="H10" i="2"/>
  <c r="C10" i="2"/>
  <c r="AV9" i="2"/>
  <c r="AQ9" i="2"/>
  <c r="AL9" i="2"/>
  <c r="AG9" i="2"/>
  <c r="AB9" i="2"/>
  <c r="W9" i="2"/>
  <c r="R9" i="2"/>
  <c r="M9" i="2"/>
  <c r="H9" i="2"/>
  <c r="C9" i="2"/>
  <c r="AV8" i="2"/>
  <c r="AQ8" i="2"/>
  <c r="AL8" i="2"/>
  <c r="AG8" i="2"/>
  <c r="AB8" i="2"/>
  <c r="W8" i="2"/>
  <c r="R8" i="2"/>
  <c r="M8" i="2"/>
  <c r="H8" i="2"/>
  <c r="C8" i="2"/>
  <c r="AV7" i="2"/>
  <c r="AQ7" i="2"/>
  <c r="AL7" i="2"/>
  <c r="I149" i="2" s="1"/>
  <c r="AG7" i="2"/>
  <c r="AB7" i="2"/>
  <c r="W7" i="2"/>
  <c r="R7" i="2"/>
  <c r="M7" i="2"/>
  <c r="H7" i="2"/>
  <c r="C7" i="2"/>
  <c r="AV6" i="2"/>
  <c r="I136" i="2" s="1"/>
  <c r="AQ6" i="2"/>
  <c r="AL6" i="2"/>
  <c r="AG6" i="2"/>
  <c r="AB6" i="2"/>
  <c r="W6" i="2"/>
  <c r="R6" i="2"/>
  <c r="M6" i="2"/>
  <c r="H6" i="2"/>
  <c r="C127" i="2" s="1"/>
  <c r="C6" i="2"/>
  <c r="AV5" i="2"/>
  <c r="AQ5" i="2"/>
  <c r="AL5" i="2"/>
  <c r="AG5" i="2"/>
  <c r="AB5" i="2"/>
  <c r="W5" i="2"/>
  <c r="R5" i="2"/>
  <c r="E147" i="2" s="1"/>
  <c r="M5" i="2"/>
  <c r="K144" i="2" s="1"/>
  <c r="H5" i="2"/>
  <c r="C5" i="2"/>
  <c r="AV4" i="2"/>
  <c r="AQ4" i="2"/>
  <c r="AL4" i="2"/>
  <c r="G134" i="2" s="1"/>
  <c r="AG4" i="2"/>
  <c r="G130" i="2" s="1"/>
  <c r="AB4" i="2"/>
  <c r="G133" i="2" s="1"/>
  <c r="W4" i="2"/>
  <c r="R4" i="2"/>
  <c r="M4" i="2"/>
  <c r="H4" i="2"/>
  <c r="C4" i="2"/>
  <c r="K151" i="2"/>
  <c r="AQ3" i="2"/>
  <c r="E150" i="2" s="1"/>
  <c r="AL3" i="2"/>
  <c r="G149" i="2" s="1"/>
  <c r="AG3" i="2"/>
  <c r="K147" i="2" s="1"/>
  <c r="AB3" i="2"/>
  <c r="I148" i="2" s="1"/>
  <c r="W3" i="2"/>
  <c r="E146" i="2" s="1"/>
  <c r="R3" i="2"/>
  <c r="G145" i="2" s="1"/>
  <c r="M3" i="2"/>
  <c r="I144" i="2" s="1"/>
  <c r="H3" i="2"/>
  <c r="K143" i="2" s="1"/>
  <c r="C3" i="2"/>
  <c r="B151" i="2" s="1"/>
  <c r="K127" i="2" l="1"/>
  <c r="K131" i="2"/>
  <c r="B127" i="2"/>
  <c r="J127" i="2"/>
  <c r="H128" i="2"/>
  <c r="F129" i="2"/>
  <c r="D130" i="2"/>
  <c r="B131" i="2"/>
  <c r="J131" i="2"/>
  <c r="H132" i="2"/>
  <c r="F133" i="2"/>
  <c r="D134" i="2"/>
  <c r="B135" i="2"/>
  <c r="J135" i="2"/>
  <c r="H136" i="2"/>
  <c r="F142" i="2"/>
  <c r="D143" i="2"/>
  <c r="B144" i="2"/>
  <c r="J144" i="2"/>
  <c r="H145" i="2"/>
  <c r="F146" i="2"/>
  <c r="D147" i="2"/>
  <c r="B148" i="2"/>
  <c r="J148" i="2"/>
  <c r="H149" i="2"/>
  <c r="F150" i="2"/>
  <c r="D151" i="2"/>
  <c r="E151" i="2"/>
  <c r="H133" i="2"/>
  <c r="F134" i="2"/>
  <c r="D135" i="2"/>
  <c r="B136" i="2"/>
  <c r="J136" i="2"/>
  <c r="H142" i="2"/>
  <c r="F143" i="2"/>
  <c r="D144" i="2"/>
  <c r="B145" i="2"/>
  <c r="J145" i="2"/>
  <c r="H146" i="2"/>
  <c r="F147" i="2"/>
  <c r="D148" i="2"/>
  <c r="B149" i="2"/>
  <c r="J149" i="2"/>
  <c r="H150" i="2"/>
  <c r="F151" i="2"/>
  <c r="I128" i="2"/>
  <c r="C131" i="2"/>
  <c r="E134" i="2"/>
  <c r="C144" i="2"/>
  <c r="G146" i="2"/>
  <c r="K148" i="2"/>
  <c r="J128" i="2"/>
  <c r="D131" i="2"/>
  <c r="C128" i="2"/>
  <c r="K132" i="2"/>
  <c r="E135" i="2"/>
  <c r="C136" i="2"/>
  <c r="G143" i="2"/>
  <c r="E144" i="2"/>
  <c r="C145" i="2"/>
  <c r="K145" i="2"/>
  <c r="I146" i="2"/>
  <c r="G147" i="2"/>
  <c r="E148" i="2"/>
  <c r="C149" i="2"/>
  <c r="K149" i="2"/>
  <c r="I150" i="2"/>
  <c r="G151" i="2"/>
  <c r="I132" i="2"/>
  <c r="C135" i="2"/>
  <c r="E143" i="2"/>
  <c r="I145" i="2"/>
  <c r="C148" i="2"/>
  <c r="G150" i="2"/>
  <c r="B128" i="2"/>
  <c r="F130" i="2"/>
  <c r="J132" i="2"/>
  <c r="E127" i="2"/>
  <c r="I129" i="2"/>
  <c r="C132" i="2"/>
  <c r="K136" i="2"/>
  <c r="D128" i="2"/>
  <c r="J129" i="2"/>
  <c r="H130" i="2"/>
  <c r="D132" i="2"/>
  <c r="J133" i="2"/>
  <c r="F135" i="2"/>
  <c r="B142" i="2"/>
  <c r="H143" i="2"/>
  <c r="F144" i="2"/>
  <c r="D145" i="2"/>
  <c r="B146" i="2"/>
  <c r="J146" i="2"/>
  <c r="H147" i="2"/>
  <c r="F148" i="2"/>
  <c r="D149" i="2"/>
  <c r="B150" i="2"/>
  <c r="J150" i="2"/>
  <c r="H151" i="2"/>
  <c r="G127" i="2"/>
  <c r="E128" i="2"/>
  <c r="C129" i="2"/>
  <c r="K129" i="2"/>
  <c r="I130" i="2"/>
  <c r="G131" i="2"/>
  <c r="E132" i="2"/>
  <c r="C133" i="2"/>
  <c r="K133" i="2"/>
  <c r="I134" i="2"/>
  <c r="G135" i="2"/>
  <c r="E136" i="2"/>
  <c r="C142" i="2"/>
  <c r="K142" i="2"/>
  <c r="I143" i="2"/>
  <c r="G144" i="2"/>
  <c r="E145" i="2"/>
  <c r="C146" i="2"/>
  <c r="K146" i="2"/>
  <c r="I147" i="2"/>
  <c r="G148" i="2"/>
  <c r="E149" i="2"/>
  <c r="C150" i="2"/>
  <c r="K150" i="2"/>
  <c r="I151" i="2"/>
  <c r="E130" i="2"/>
  <c r="K135" i="2"/>
  <c r="G142" i="2"/>
  <c r="D127" i="2"/>
  <c r="H129" i="2"/>
  <c r="B132" i="2"/>
  <c r="K128" i="2"/>
  <c r="E131" i="2"/>
  <c r="I133" i="2"/>
  <c r="I142" i="2"/>
  <c r="F127" i="2"/>
  <c r="B129" i="2"/>
  <c r="F131" i="2"/>
  <c r="B133" i="2"/>
  <c r="H134" i="2"/>
  <c r="D136" i="2"/>
  <c r="J142" i="2"/>
  <c r="H127" i="2"/>
  <c r="F128" i="2"/>
  <c r="D129" i="2"/>
  <c r="B130" i="2"/>
  <c r="J130" i="2"/>
  <c r="H131" i="2"/>
  <c r="F132" i="2"/>
  <c r="D133" i="2"/>
  <c r="B134" i="2"/>
  <c r="J134" i="2"/>
  <c r="H135" i="2"/>
  <c r="F136" i="2"/>
  <c r="D142" i="2"/>
  <c r="B143" i="2"/>
  <c r="J143" i="2"/>
  <c r="H144" i="2"/>
  <c r="F145" i="2"/>
  <c r="D146" i="2"/>
  <c r="B147" i="2"/>
  <c r="J147" i="2"/>
  <c r="F149" i="2"/>
  <c r="H148" i="2"/>
  <c r="D150" i="2"/>
  <c r="J151" i="2"/>
  <c r="I127" i="2"/>
  <c r="G128" i="2"/>
  <c r="E129" i="2"/>
  <c r="C130" i="2"/>
  <c r="K130" i="2"/>
  <c r="I131" i="2"/>
  <c r="G132" i="2"/>
  <c r="E133" i="2"/>
  <c r="C134" i="2"/>
  <c r="K134" i="2"/>
  <c r="I135" i="2"/>
  <c r="G136" i="2"/>
  <c r="E142" i="2"/>
  <c r="C143" i="2"/>
  <c r="C147" i="2"/>
  <c r="C15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<sst xmlns="http://schemas.openxmlformats.org/spreadsheetml/2006/main" count="1191" uniqueCount="145">
  <si>
    <t>APPLE</t>
  </si>
  <si>
    <t>JP MORGAN</t>
  </si>
  <si>
    <t>MICROSOFT</t>
  </si>
  <si>
    <t xml:space="preserve">AMERICAN WATER </t>
  </si>
  <si>
    <t>PFIZER</t>
  </si>
  <si>
    <t>TOD'S</t>
  </si>
  <si>
    <t>RISO</t>
  </si>
  <si>
    <t>FIRST SOLAR</t>
  </si>
  <si>
    <t>Date</t>
  </si>
  <si>
    <t>Adj Close</t>
  </si>
  <si>
    <t>Rendimenti attesi</t>
  </si>
  <si>
    <t>rendimenti attesi</t>
  </si>
  <si>
    <t>MATRICE VARIANZA COVARIANZA</t>
  </si>
  <si>
    <t>AMERICAN WATER</t>
  </si>
  <si>
    <t>MATRICE CORRELAZIONE</t>
  </si>
  <si>
    <t>BRUNELLO CUCINELLI</t>
  </si>
  <si>
    <t>GOLDMAN SACHS</t>
  </si>
  <si>
    <t>CUCINELLI</t>
  </si>
  <si>
    <t>Rendimento atteso FIRST SOLAR</t>
  </si>
  <si>
    <t>Rendimento atteso AMERICAN WATER</t>
  </si>
  <si>
    <t>Rendimento atteso PFIZER</t>
  </si>
  <si>
    <t>Rendimento atteso TOD'S</t>
  </si>
  <si>
    <t>Rendimento atteso RISO</t>
  </si>
  <si>
    <t>Varianza FIRST SOLAR</t>
  </si>
  <si>
    <t>Varianza AMERICAN WATER</t>
  </si>
  <si>
    <t>Varianza PFIZER</t>
  </si>
  <si>
    <t>Varianza TOD'S</t>
  </si>
  <si>
    <t>Varianza RISO</t>
  </si>
  <si>
    <t>Deviazione Standard FIRST SOLAR</t>
  </si>
  <si>
    <t>PESI</t>
  </si>
  <si>
    <t>Deviazione Standard AMERICAN WATER</t>
  </si>
  <si>
    <t>Deviazione standard PFIZER</t>
  </si>
  <si>
    <t>Deviazione standard TOD'S</t>
  </si>
  <si>
    <t>RENDIMENTO ATTESO DEL PORTAFOGLIO</t>
  </si>
  <si>
    <t>VARIANZA DEL PORTAFOGLIO</t>
  </si>
  <si>
    <t>deviazione standard</t>
  </si>
  <si>
    <t>Rendimento richiesto</t>
  </si>
  <si>
    <t>RENDIMENTO ATTESO</t>
  </si>
  <si>
    <t>VARIANZA</t>
  </si>
  <si>
    <t>DEVIAZIONE STANDARD</t>
  </si>
  <si>
    <t>rendimento vincolo</t>
  </si>
  <si>
    <t>Varianza richiesta</t>
  </si>
  <si>
    <t>varianza richiesta</t>
  </si>
  <si>
    <t>Vettore 1</t>
  </si>
  <si>
    <t>Vettore 1 (trasposto)</t>
  </si>
  <si>
    <t>z (vettore dei rendimenti attesi)</t>
  </si>
  <si>
    <t>z' (vettore dei rendimenti trasposto)</t>
  </si>
  <si>
    <t>matrice varianza covarianza</t>
  </si>
  <si>
    <t>C</t>
  </si>
  <si>
    <t>A</t>
  </si>
  <si>
    <t>B</t>
  </si>
  <si>
    <t>D</t>
  </si>
  <si>
    <t>EP</t>
  </si>
  <si>
    <t>TOTALE</t>
  </si>
  <si>
    <t>G</t>
  </si>
  <si>
    <t>H</t>
  </si>
  <si>
    <t>portafoglio minima varianza</t>
  </si>
  <si>
    <t>RENDIMENTO DEL PORTAFOGLIO</t>
  </si>
  <si>
    <t>AMERICA WATER</t>
  </si>
  <si>
    <t>PFISER</t>
  </si>
  <si>
    <t>DATI UTILI PER CALCOLARE LA FRONTIERA</t>
  </si>
  <si>
    <t>varianza</t>
  </si>
  <si>
    <t>Rendimento atteso</t>
  </si>
  <si>
    <t>INDICE NASDAQ</t>
  </si>
  <si>
    <t>CUCCINELLI</t>
  </si>
  <si>
    <t>GOLDMAN SACH</t>
  </si>
  <si>
    <t>RENDIMENTI</t>
  </si>
  <si>
    <t>DEVIAZIONI STANDARD</t>
  </si>
  <si>
    <t xml:space="preserve">RISO </t>
  </si>
  <si>
    <t>Titolo free risk T-BILL USA</t>
  </si>
  <si>
    <t>SHARPE RATIO</t>
  </si>
  <si>
    <t>Sharpe ratio</t>
  </si>
  <si>
    <t>CAL</t>
  </si>
  <si>
    <t>RENDIMENTO</t>
  </si>
  <si>
    <t>RENDIMENTI ATTESI</t>
  </si>
  <si>
    <t>BETA</t>
  </si>
  <si>
    <t>CALCOLO BETA ED ALFA</t>
  </si>
  <si>
    <t>Beta</t>
  </si>
  <si>
    <t>Alfa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</si>
  <si>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</si>
  <si>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</si>
  <si>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</si>
  <si>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</si>
  <si>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</si>
  <si>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</si>
  <si>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</si>
  <si>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</si>
  <si>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</si>
  <si>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</si>
  <si>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</si>
  <si>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</si>
  <si>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</si>
  <si>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</si>
  <si>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</si>
  <si>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</si>
  <si>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</si>
  <si>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</si>
  <si>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</si>
  <si>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</si>
  <si>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</si>
  <si>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</si>
  <si>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</si>
  <si>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</si>
  <si>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</si>
  <si>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>OUTPUT RESIDUI</t>
  </si>
  <si>
    <t>Osservazione</t>
  </si>
  <si>
    <t>Y prevista</t>
  </si>
  <si>
    <t>Residui</t>
  </si>
  <si>
    <t>OUTPUT DATI</t>
  </si>
  <si>
    <t>Percentile</t>
  </si>
  <si>
    <t>Y</t>
  </si>
  <si>
    <t>Media residui</t>
  </si>
  <si>
    <t>Media</t>
  </si>
  <si>
    <t>Varianza</t>
  </si>
  <si>
    <t>RENDIMENTI ATTESI SIM</t>
  </si>
  <si>
    <t>RESIDUI</t>
  </si>
  <si>
    <t>Rendimenti</t>
  </si>
  <si>
    <t>Rendimento</t>
  </si>
  <si>
    <t>VARIANZA PORTAFOGLIO</t>
  </si>
  <si>
    <t xml:space="preserve">RENDIMENTO </t>
  </si>
  <si>
    <t>DEV STD</t>
  </si>
  <si>
    <t>Rendimento vincolo</t>
  </si>
  <si>
    <t>Rendimenti richiesti</t>
  </si>
  <si>
    <t>VALORI P-VALUE</t>
  </si>
  <si>
    <t>ALFA</t>
  </si>
  <si>
    <t>VALORI T STUDENT</t>
  </si>
  <si>
    <t xml:space="preserve">VALORI T STUDENT </t>
  </si>
  <si>
    <t>Tasso RF</t>
  </si>
  <si>
    <t>Titolo RF</t>
  </si>
  <si>
    <t>Sharpe</t>
  </si>
  <si>
    <t>Deviazione std</t>
  </si>
  <si>
    <t xml:space="preserve"> </t>
  </si>
  <si>
    <t>NASDAQ</t>
  </si>
  <si>
    <t>Punto minima varianza</t>
  </si>
  <si>
    <t>RENDIMENTI CAPM</t>
  </si>
  <si>
    <t>Deviazione  standard</t>
  </si>
  <si>
    <t xml:space="preserve">PESI </t>
  </si>
  <si>
    <t xml:space="preserve">RENDIMENTO ATTESO </t>
  </si>
  <si>
    <t>IPOTIZZANDO UN GRADO DI AVVERSIONE AL RISCHIO PARI:</t>
  </si>
  <si>
    <t>Peso nel portafoglio di tangenza</t>
  </si>
  <si>
    <t>Deviazione standard</t>
  </si>
  <si>
    <t>RENDIMENTI ATTESI E DEVIAZIONE STANDARD MARKOWITZ</t>
  </si>
  <si>
    <t>PORTAFOGLIO DI TANGENZA</t>
  </si>
  <si>
    <t>Varianza residui</t>
  </si>
  <si>
    <t>Deviazione Standard RISO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</si>
</sst>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#,##0.000"/>
    <numFmt numFmtId="166" formatCode="0.000000000"/>
    <numFmt numFmtId="167" formatCode="#,##0.0000"/>
    <numFmt numFmtId="168" formatCode="#,##0.000000"/>
    <numFmt numFmtId="169" formatCode="0.0000"/>
    <numFmt numFmtId="170" formatCode="0.00000000"/>
    <numFmt numFmtId="171" formatCode="0.000"/>
    <numFmt numFmtId="172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 style="thin">
        <color indexed="64"/>
      </top>
      <bottom/>
      <diagonal/>
    </border>
    <border>
      <left/>
      <right style="thin">
        <color rgb="FF00B050"/>
      </right>
      <top style="thin">
        <color indexed="64"/>
      </top>
      <bottom style="thin">
        <color indexed="64"/>
      </bottom>
      <diagonal/>
    </border>
    <border>
      <left style="thin">
        <color rgb="FF00B050"/>
      </left>
      <right/>
      <top/>
      <bottom style="thin">
        <color indexed="64"/>
      </bottom>
      <diagonal/>
    </border>
    <border>
      <left style="thin">
        <color rgb="FF00B050"/>
      </left>
      <right/>
      <top style="thin">
        <color theme="1"/>
      </top>
      <bottom/>
      <diagonal/>
    </border>
    <border>
      <left/>
      <right style="thin">
        <color rgb="FF00B050"/>
      </right>
      <top style="thin">
        <color theme="1"/>
      </top>
      <bottom style="thin">
        <color theme="1"/>
      </bottom>
      <diagonal/>
    </border>
    <border>
      <left style="thin">
        <color rgb="FF00B050"/>
      </left>
      <right/>
      <top/>
      <bottom style="thin">
        <color theme="1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theme="1"/>
      </right>
      <top/>
      <bottom style="thin">
        <color rgb="FF00B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B0F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 style="medium">
        <color rgb="FF7030A0"/>
      </top>
      <bottom/>
      <diagonal/>
    </border>
    <border>
      <left/>
      <right/>
      <top/>
      <bottom style="medium">
        <color rgb="FF7030A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B0F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 style="thin">
        <color rgb="FFFFC000"/>
      </right>
      <top style="thin">
        <color rgb="FF00B0F0"/>
      </top>
      <bottom/>
      <diagonal/>
    </border>
    <border>
      <left/>
      <right style="thin">
        <color rgb="FFFFC000"/>
      </right>
      <top/>
      <bottom style="thin">
        <color rgb="FF00B0F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64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5" borderId="0" xfId="0" applyFill="1"/>
    <xf numFmtId="164" fontId="0" fillId="6" borderId="0" xfId="0" applyNumberFormat="1" applyFill="1"/>
    <xf numFmtId="0" fontId="2" fillId="0" borderId="0" xfId="0" applyFont="1"/>
    <xf numFmtId="0" fontId="0" fillId="7" borderId="0" xfId="0" applyFill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9" xfId="0" applyBorder="1"/>
    <xf numFmtId="164" fontId="0" fillId="0" borderId="10" xfId="1" applyNumberFormat="1" applyFont="1" applyBorder="1"/>
    <xf numFmtId="0" fontId="0" fillId="0" borderId="11" xfId="0" applyBorder="1"/>
    <xf numFmtId="164" fontId="0" fillId="0" borderId="12" xfId="1" applyNumberFormat="1" applyFont="1" applyBorder="1"/>
    <xf numFmtId="0" fontId="0" fillId="0" borderId="13" xfId="0" applyBorder="1"/>
    <xf numFmtId="164" fontId="0" fillId="0" borderId="14" xfId="1" applyNumberFormat="1" applyFont="1" applyBorder="1"/>
    <xf numFmtId="0" fontId="0" fillId="0" borderId="15" xfId="0" applyBorder="1"/>
    <xf numFmtId="164" fontId="0" fillId="0" borderId="16" xfId="0" applyNumberFormat="1" applyBorder="1"/>
    <xf numFmtId="0" fontId="0" fillId="0" borderId="17" xfId="0" applyBorder="1"/>
    <xf numFmtId="164" fontId="0" fillId="0" borderId="18" xfId="0" applyNumberFormat="1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164" fontId="0" fillId="0" borderId="22" xfId="0" applyNumberFormat="1" applyBorder="1"/>
    <xf numFmtId="0" fontId="0" fillId="0" borderId="23" xfId="0" applyBorder="1"/>
    <xf numFmtId="164" fontId="0" fillId="0" borderId="24" xfId="0" applyNumberFormat="1" applyBorder="1"/>
    <xf numFmtId="0" fontId="0" fillId="0" borderId="25" xfId="0" applyBorder="1"/>
    <xf numFmtId="164" fontId="0" fillId="0" borderId="26" xfId="0" applyNumberFormat="1" applyBorder="1"/>
    <xf numFmtId="0" fontId="0" fillId="0" borderId="0" xfId="0" applyAlignment="1">
      <alignment wrapText="1"/>
    </xf>
    <xf numFmtId="0" fontId="0" fillId="0" borderId="27" xfId="0" applyBorder="1"/>
    <xf numFmtId="0" fontId="0" fillId="0" borderId="28" xfId="0" applyBorder="1"/>
    <xf numFmtId="0" fontId="0" fillId="0" borderId="8" xfId="0" applyBorder="1"/>
    <xf numFmtId="170" fontId="0" fillId="0" borderId="0" xfId="0" applyNumberFormat="1"/>
    <xf numFmtId="0" fontId="0" fillId="0" borderId="29" xfId="0" applyBorder="1" applyAlignment="1">
      <alignment wrapText="1"/>
    </xf>
    <xf numFmtId="164" fontId="0" fillId="0" borderId="34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0" fontId="0" fillId="0" borderId="35" xfId="0" applyBorder="1"/>
    <xf numFmtId="0" fontId="0" fillId="0" borderId="2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164" fontId="0" fillId="0" borderId="42" xfId="0" applyNumberFormat="1" applyBorder="1"/>
    <xf numFmtId="164" fontId="0" fillId="0" borderId="43" xfId="0" applyNumberFormat="1" applyBorder="1"/>
    <xf numFmtId="0" fontId="0" fillId="0" borderId="42" xfId="0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0" fontId="0" fillId="0" borderId="6" xfId="0" applyBorder="1"/>
    <xf numFmtId="0" fontId="0" fillId="0" borderId="44" xfId="0" applyBorder="1"/>
    <xf numFmtId="164" fontId="0" fillId="0" borderId="45" xfId="0" applyNumberFormat="1" applyBorder="1"/>
    <xf numFmtId="0" fontId="0" fillId="0" borderId="46" xfId="0" applyBorder="1"/>
    <xf numFmtId="164" fontId="0" fillId="0" borderId="47" xfId="0" applyNumberFormat="1" applyBorder="1"/>
    <xf numFmtId="0" fontId="0" fillId="0" borderId="48" xfId="0" applyBorder="1"/>
    <xf numFmtId="170" fontId="0" fillId="0" borderId="49" xfId="0" applyNumberFormat="1" applyBorder="1"/>
    <xf numFmtId="0" fontId="0" fillId="0" borderId="50" xfId="0" applyBorder="1"/>
    <xf numFmtId="0" fontId="0" fillId="0" borderId="51" xfId="0" applyBorder="1"/>
    <xf numFmtId="164" fontId="0" fillId="0" borderId="49" xfId="0" applyNumberFormat="1" applyBorder="1"/>
    <xf numFmtId="0" fontId="0" fillId="0" borderId="47" xfId="0" applyBorder="1"/>
    <xf numFmtId="0" fontId="0" fillId="0" borderId="49" xfId="0" applyBorder="1"/>
    <xf numFmtId="0" fontId="0" fillId="4" borderId="0" xfId="0" applyFill="1"/>
    <xf numFmtId="171" fontId="0" fillId="0" borderId="0" xfId="0" applyNumberFormat="1"/>
    <xf numFmtId="172" fontId="0" fillId="0" borderId="0" xfId="0" applyNumberFormat="1"/>
    <xf numFmtId="0" fontId="0" fillId="0" borderId="52" xfId="0" applyBorder="1"/>
    <xf numFmtId="0" fontId="0" fillId="6" borderId="0" xfId="0" applyFill="1"/>
    <xf numFmtId="0" fontId="0" fillId="0" borderId="10" xfId="0" applyBorder="1"/>
    <xf numFmtId="0" fontId="0" fillId="0" borderId="12" xfId="0" applyBorder="1"/>
    <xf numFmtId="0" fontId="0" fillId="0" borderId="55" xfId="0" applyBorder="1"/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3" fontId="0" fillId="7" borderId="0" xfId="0" applyNumberFormat="1" applyFill="1" applyAlignment="1">
      <alignment horizontal="center"/>
    </xf>
    <xf numFmtId="14" fontId="0" fillId="7" borderId="0" xfId="0" applyNumberFormat="1" applyFill="1" applyAlignment="1">
      <alignment horizontal="center"/>
    </xf>
    <xf numFmtId="3" fontId="2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164" fontId="0" fillId="0" borderId="30" xfId="0" applyNumberFormat="1" applyBorder="1"/>
    <xf numFmtId="164" fontId="0" fillId="0" borderId="40" xfId="0" applyNumberFormat="1" applyBorder="1"/>
    <xf numFmtId="172" fontId="0" fillId="0" borderId="31" xfId="0" applyNumberFormat="1" applyBorder="1"/>
    <xf numFmtId="172" fontId="0" fillId="0" borderId="32" xfId="0" applyNumberFormat="1" applyBorder="1"/>
    <xf numFmtId="172" fontId="0" fillId="0" borderId="33" xfId="0" applyNumberFormat="1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45" xfId="0" applyBorder="1"/>
    <xf numFmtId="164" fontId="0" fillId="0" borderId="46" xfId="0" applyNumberFormat="1" applyBorder="1"/>
    <xf numFmtId="164" fontId="0" fillId="0" borderId="48" xfId="0" applyNumberFormat="1" applyBorder="1"/>
    <xf numFmtId="164" fontId="0" fillId="0" borderId="51" xfId="0" applyNumberFormat="1" applyBorder="1"/>
    <xf numFmtId="164" fontId="0" fillId="0" borderId="44" xfId="0" applyNumberFormat="1" applyBorder="1"/>
    <xf numFmtId="164" fontId="0" fillId="0" borderId="50" xfId="0" applyNumberFormat="1" applyBorder="1"/>
    <xf numFmtId="164" fontId="0" fillId="8" borderId="0" xfId="0" applyNumberFormat="1" applyFill="1"/>
    <xf numFmtId="164" fontId="0" fillId="8" borderId="46" xfId="0" applyNumberFormat="1" applyFill="1" applyBorder="1"/>
    <xf numFmtId="164" fontId="0" fillId="8" borderId="47" xfId="0" applyNumberFormat="1" applyFill="1" applyBorder="1"/>
    <xf numFmtId="0" fontId="0" fillId="8" borderId="46" xfId="0" applyFill="1" applyBorder="1"/>
    <xf numFmtId="0" fontId="0" fillId="8" borderId="0" xfId="0" applyFill="1"/>
    <xf numFmtId="0" fontId="0" fillId="8" borderId="47" xfId="0" applyFill="1" applyBorder="1"/>
    <xf numFmtId="0" fontId="2" fillId="0" borderId="2" xfId="0" applyFont="1" applyBorder="1"/>
    <xf numFmtId="0" fontId="0" fillId="9" borderId="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164" fontId="0" fillId="6" borderId="8" xfId="0" applyNumberFormat="1" applyFill="1" applyBorder="1"/>
    <xf numFmtId="164" fontId="0" fillId="0" borderId="53" xfId="0" applyNumberFormat="1" applyBorder="1"/>
    <xf numFmtId="164" fontId="0" fillId="0" borderId="54" xfId="0" applyNumberFormat="1" applyBorder="1"/>
    <xf numFmtId="164" fontId="0" fillId="7" borderId="0" xfId="0" applyNumberFormat="1" applyFill="1"/>
    <xf numFmtId="0" fontId="0" fillId="0" borderId="58" xfId="0" applyBorder="1"/>
    <xf numFmtId="0" fontId="0" fillId="0" borderId="60" xfId="0" applyBorder="1"/>
    <xf numFmtId="164" fontId="0" fillId="0" borderId="59" xfId="0" applyNumberFormat="1" applyBorder="1"/>
    <xf numFmtId="164" fontId="0" fillId="0" borderId="61" xfId="0" applyNumberFormat="1" applyBorder="1"/>
    <xf numFmtId="0" fontId="2" fillId="0" borderId="9" xfId="0" applyFont="1" applyBorder="1"/>
    <xf numFmtId="0" fontId="0" fillId="0" borderId="59" xfId="0" applyBorder="1" applyAlignment="1">
      <alignment horizontal="center"/>
    </xf>
    <xf numFmtId="0" fontId="0" fillId="9" borderId="0" xfId="0" applyFill="1"/>
    <xf numFmtId="0" fontId="0" fillId="3" borderId="0" xfId="0" applyFill="1"/>
    <xf numFmtId="164" fontId="0" fillId="0" borderId="63" xfId="0" applyNumberFormat="1" applyBorder="1"/>
    <xf numFmtId="0" fontId="2" fillId="0" borderId="15" xfId="0" applyFont="1" applyBorder="1"/>
    <xf numFmtId="0" fontId="3" fillId="0" borderId="64" xfId="0" applyFont="1" applyBorder="1" applyAlignment="1">
      <alignment horizontal="center"/>
    </xf>
    <xf numFmtId="0" fontId="3" fillId="0" borderId="64" xfId="0" applyFont="1" applyBorder="1" applyAlignment="1">
      <alignment horizontal="centerContinuous"/>
    </xf>
    <xf numFmtId="0" fontId="0" fillId="8" borderId="51" xfId="0" applyFill="1" applyBorder="1"/>
    <xf numFmtId="0" fontId="3" fillId="0" borderId="0" xfId="0" applyFont="1" applyAlignment="1">
      <alignment horizontal="center"/>
    </xf>
    <xf numFmtId="0" fontId="2" fillId="0" borderId="10" xfId="0" applyFont="1" applyBorder="1"/>
    <xf numFmtId="0" fontId="2" fillId="0" borderId="16" xfId="0" applyFont="1" applyBorder="1"/>
    <xf numFmtId="0" fontId="0" fillId="10" borderId="12" xfId="0" applyFill="1" applyBorder="1"/>
    <xf numFmtId="0" fontId="0" fillId="10" borderId="14" xfId="0" applyFill="1" applyBorder="1"/>
    <xf numFmtId="0" fontId="0" fillId="10" borderId="18" xfId="0" applyFill="1" applyBorder="1"/>
    <xf numFmtId="0" fontId="2" fillId="0" borderId="65" xfId="0" applyFont="1" applyBorder="1"/>
    <xf numFmtId="0" fontId="0" fillId="10" borderId="0" xfId="0" applyFill="1"/>
    <xf numFmtId="0" fontId="0" fillId="10" borderId="55" xfId="0" applyFill="1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164" fontId="0" fillId="0" borderId="72" xfId="0" applyNumberFormat="1" applyBorder="1"/>
    <xf numFmtId="0" fontId="0" fillId="0" borderId="74" xfId="0" applyBorder="1"/>
    <xf numFmtId="164" fontId="0" fillId="0" borderId="75" xfId="0" applyNumberFormat="1" applyBorder="1"/>
    <xf numFmtId="0" fontId="0" fillId="11" borderId="0" xfId="0" applyFill="1"/>
    <xf numFmtId="164" fontId="0" fillId="5" borderId="0" xfId="0" applyNumberFormat="1" applyFill="1"/>
    <xf numFmtId="164" fontId="0" fillId="11" borderId="0" xfId="0" applyNumberFormat="1" applyFill="1"/>
    <xf numFmtId="164" fontId="0" fillId="0" borderId="70" xfId="0" applyNumberFormat="1" applyBorder="1"/>
    <xf numFmtId="164" fontId="0" fillId="0" borderId="73" xfId="0" applyNumberFormat="1" applyBorder="1"/>
    <xf numFmtId="164" fontId="0" fillId="4" borderId="4" xfId="0" applyNumberFormat="1" applyFill="1" applyBorder="1"/>
    <xf numFmtId="164" fontId="0" fillId="4" borderId="5" xfId="0" applyNumberFormat="1" applyFill="1" applyBorder="1"/>
    <xf numFmtId="0" fontId="0" fillId="12" borderId="0" xfId="0" applyFill="1"/>
    <xf numFmtId="0" fontId="0" fillId="0" borderId="7" xfId="0" applyBorder="1"/>
    <xf numFmtId="164" fontId="0" fillId="5" borderId="4" xfId="0" applyNumberFormat="1" applyFill="1" applyBorder="1"/>
    <xf numFmtId="164" fontId="0" fillId="5" borderId="5" xfId="0" applyNumberFormat="1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Frontiera</a:t>
            </a:r>
            <a:r>
              <a:rPr lang="it-IT" baseline="0"/>
              <a:t> efficiente con short selling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efficiente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93-4D69-822C-8491601ED0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D93-4D69-822C-8491601ED0E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93-4D69-822C-8491601ED0E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93-4D69-822C-8491601ED0E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93-4D69-822C-8491601ED0E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93-4D69-822C-8491601ED0E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93-4D69-822C-8491601ED0E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93-4D69-822C-8491601ED0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D93-4D69-822C-8491601ED0E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93-4D69-822C-8491601ED0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'A2-risolutore'!$D$28:$D$37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'A2-risolutore'!$B$28:$B$37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3-4D69-822C-8491601ED0E2}"/>
            </c:ext>
          </c:extLst>
        </c:ser>
        <c:ser>
          <c:idx val="1"/>
          <c:order val="1"/>
          <c:tx>
            <c:v>Parte superiore frontiera efficiente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6D93-4D69-822C-8491601ED0E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D93-4D69-822C-8491601ED0E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93-4D69-822C-8491601ED0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'A2-risolutore'!$D$44:$D$46</c:f>
              <c:numCache>
                <c:formatCode>0.000000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'A2-risolutore'!$B$44:$B$46</c:f>
              <c:numCache>
                <c:formatCode>0.000000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3-4D69-822C-8491601ED0E2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33236207"/>
        <c:axId val="433233327"/>
      </c:scatterChart>
      <c:valAx>
        <c:axId val="4332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3327"/>
        <c:crosses val="autoZero"/>
        <c:crossBetween val="midCat"/>
      </c:valAx>
      <c:valAx>
        <c:axId val="4332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Frontiera</a:t>
            </a:r>
            <a:r>
              <a:rPr lang="en-US" baseline="0"/>
              <a:t> con </a:t>
            </a:r>
            <a:r>
              <a:rPr lang="en-US"/>
              <a:t>derivazioni analitiche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con derivazione analitica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'A2-derivazione analitica'!$D$65:$D$74</c:f>
              <c:numCache>
                <c:formatCode>0.000000</c:formatCode>
                <c:ptCount val="10"/>
                <c:pt idx="0">
                  <c:v>0.10236320416220682</c:v>
                </c:pt>
                <c:pt idx="1">
                  <c:v>8.612960882792367E-2</c:v>
                </c:pt>
                <c:pt idx="2">
                  <c:v>7.0596879732139489E-2</c:v>
                </c:pt>
                <c:pt idx="3">
                  <c:v>5.6347629049878334E-2</c:v>
                </c:pt>
                <c:pt idx="4">
                  <c:v>4.4628658188844587E-2</c:v>
                </c:pt>
                <c:pt idx="5">
                  <c:v>3.786693708892052E-2</c:v>
                </c:pt>
                <c:pt idx="6">
                  <c:v>3.8750724868333877E-2</c:v>
                </c:pt>
                <c:pt idx="7">
                  <c:v>4.6849315808364385E-2</c:v>
                </c:pt>
                <c:pt idx="8">
                  <c:v>7.3877707741845142E-2</c:v>
                </c:pt>
                <c:pt idx="9">
                  <c:v>8.9597618811978211E-2</c:v>
                </c:pt>
              </c:numCache>
            </c:numRef>
          </c:xVal>
          <c:yVal>
            <c:numRef>
              <c:f>'A2-derivazione analitica'!$B$65:$B$74</c:f>
              <c:numCache>
                <c:formatCode>0.000000</c:formatCode>
                <c:ptCount val="10"/>
                <c:pt idx="0">
                  <c:v>-4.4250000000000079E-3</c:v>
                </c:pt>
                <c:pt idx="1">
                  <c:v>-1.5310000000000059E-3</c:v>
                </c:pt>
                <c:pt idx="2">
                  <c:v>1.3629999999999957E-3</c:v>
                </c:pt>
                <c:pt idx="3">
                  <c:v>4.2569999999999986E-3</c:v>
                </c:pt>
                <c:pt idx="4">
                  <c:v>7.1509999999999994E-3</c:v>
                </c:pt>
                <c:pt idx="5">
                  <c:v>1.0045000000000002E-2</c:v>
                </c:pt>
                <c:pt idx="6">
                  <c:v>1.2939000000000006E-2</c:v>
                </c:pt>
                <c:pt idx="7">
                  <c:v>1.5833E-2</c:v>
                </c:pt>
                <c:pt idx="8">
                  <c:v>2.1621000000000008E-2</c:v>
                </c:pt>
                <c:pt idx="9">
                  <c:v>2.4515000000000006E-2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CF-48C9-8AFA-37D862BD3D04}"/>
            </c:ext>
          </c:extLst>
        </c:ser>
        <c:ser>
          <c:idx val="1"/>
          <c:order val="1"/>
          <c:tx>
            <c:v>Punto di minima varianza globale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'A2-derivazione analitica'!$D$62</c:f>
              <c:numCache>
                <c:formatCode>0.000000</c:formatCode>
                <c:ptCount val="1"/>
                <c:pt idx="0">
                  <c:v>3.722775870826827E-2</c:v>
                </c:pt>
              </c:numCache>
            </c:numRef>
          </c:xVal>
          <c:yVal>
            <c:numRef>
              <c:f>'A2-derivazione analitica'!$C$62</c:f>
              <c:numCache>
                <c:formatCode>0.000000</c:formatCode>
                <c:ptCount val="1"/>
                <c:pt idx="0">
                  <c:v>1.1178721871710137E-2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CF-48C9-8AFA-37D862BD3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145247"/>
        <c:axId val="737153407"/>
      </c:scatterChart>
      <c:valAx>
        <c:axId val="73714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153407"/>
        <c:crosses val="autoZero"/>
        <c:crossBetween val="midCat"/>
      </c:valAx>
      <c:valAx>
        <c:axId val="7371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Rendimenti</a:t>
                </a:r>
                <a:r>
                  <a:rPr lang="it-IT" baseline="0"/>
                  <a:t> attesi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714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</a:t>
            </a:r>
            <a:r>
              <a:rPr lang="it-IT" baseline="0"/>
              <a:t> delle due frontiere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Frontiera con derivazione analitica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'A2-derivazione analitica'!$D$65:$D$74</c:f>
              <c:numCache>
                <c:formatCode>0.000000</c:formatCode>
                <c:ptCount val="10"/>
                <c:pt idx="0">
                  <c:v>0.10236320416220682</c:v>
                </c:pt>
                <c:pt idx="1">
                  <c:v>8.612960882792367E-2</c:v>
                </c:pt>
                <c:pt idx="2">
                  <c:v>7.0596879732139489E-2</c:v>
                </c:pt>
                <c:pt idx="3">
                  <c:v>5.6347629049878334E-2</c:v>
                </c:pt>
                <c:pt idx="4">
                  <c:v>4.4628658188844587E-2</c:v>
                </c:pt>
                <c:pt idx="5">
                  <c:v>3.786693708892052E-2</c:v>
                </c:pt>
                <c:pt idx="6">
                  <c:v>3.8750724868333877E-2</c:v>
                </c:pt>
                <c:pt idx="7">
                  <c:v>4.6849315808364385E-2</c:v>
                </c:pt>
                <c:pt idx="8">
                  <c:v>7.3877707741845142E-2</c:v>
                </c:pt>
                <c:pt idx="9">
                  <c:v>8.9597618811978211E-2</c:v>
                </c:pt>
              </c:numCache>
            </c:numRef>
          </c:xVal>
          <c:yVal>
            <c:numRef>
              <c:f>'A2-derivazione analitica'!$B$65:$B$74</c:f>
              <c:numCache>
                <c:formatCode>0.000000</c:formatCode>
                <c:ptCount val="10"/>
                <c:pt idx="0">
                  <c:v>-4.4250000000000079E-3</c:v>
                </c:pt>
                <c:pt idx="1">
                  <c:v>-1.5310000000000059E-3</c:v>
                </c:pt>
                <c:pt idx="2">
                  <c:v>1.3629999999999957E-3</c:v>
                </c:pt>
                <c:pt idx="3">
                  <c:v>4.2569999999999986E-3</c:v>
                </c:pt>
                <c:pt idx="4">
                  <c:v>7.1509999999999994E-3</c:v>
                </c:pt>
                <c:pt idx="5">
                  <c:v>1.0045000000000002E-2</c:v>
                </c:pt>
                <c:pt idx="6">
                  <c:v>1.2939000000000006E-2</c:v>
                </c:pt>
                <c:pt idx="7">
                  <c:v>1.5833E-2</c:v>
                </c:pt>
                <c:pt idx="8">
                  <c:v>2.1621000000000008E-2</c:v>
                </c:pt>
                <c:pt idx="9">
                  <c:v>2.4515000000000006E-2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D2-47D9-8686-29D38EC4297A}"/>
            </c:ext>
          </c:extLst>
        </c:ser>
        <c:ser>
          <c:idx val="2"/>
          <c:order val="2"/>
          <c:tx>
            <c:v>Frontiera con risolutore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'A2-risolutore'!$D$28:$D$37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'A2-risolutore'!$B$28:$B$37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D2-47D9-8686-29D38EC42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927087"/>
        <c:axId val="6049179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multiLvlStrRef>
                    <c:extLst>
                      <c:ext uri="{02D57815-91ED-43cb-92C2-25804820EDAC}">
                        <c15:formulaRef>
                          <c15:sqref>'A2-derivazione analitica'!$A$55:$B$59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FIRST SOLAR</c:v>
                        </c:pt>
                        <c:pt idx="1">
                          <c:v>AMERICAN WATER</c:v>
                        </c:pt>
                        <c:pt idx="2">
                          <c:v>PFIZER</c:v>
                        </c:pt>
                        <c:pt idx="3">
                          <c:v>TOD'S</c:v>
                        </c:pt>
                        <c:pt idx="4">
                          <c:v>RISO</c:v>
                        </c:pt>
                      </c:lvl>
                      <c:lvl>
                        <c:pt idx="0">
                          <c:v>H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'A2-derivazione analitica'!$C$55:$C$59</c15:sqref>
                        </c15:formulaRef>
                      </c:ext>
                    </c:extLst>
                    <c:numCache>
                      <c:formatCode>0.000000</c:formatCode>
                      <c:ptCount val="5"/>
                      <c:pt idx="0">
                        <c:v>16.560878792398587</c:v>
                      </c:pt>
                      <c:pt idx="1">
                        <c:v>43.452214926738712</c:v>
                      </c:pt>
                      <c:pt idx="2">
                        <c:v>-35.399936131424987</c:v>
                      </c:pt>
                      <c:pt idx="3">
                        <c:v>-44.751439399302107</c:v>
                      </c:pt>
                      <c:pt idx="4">
                        <c:v>20.138281811589749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37D2-47D9-8686-29D38EC4297A}"/>
                  </c:ext>
                </c:extLst>
              </c15:ser>
            </c15:filteredScatterSeries>
          </c:ext>
        </c:extLst>
      </c:scatterChart>
      <c:valAx>
        <c:axId val="60492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 standard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4917967"/>
        <c:crosses val="autoZero"/>
        <c:crossBetween val="midCat"/>
      </c:valAx>
      <c:valAx>
        <c:axId val="6049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 atteso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492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Frontiera</a:t>
            </a:r>
            <a:r>
              <a:rPr lang="it-IT" baseline="0"/>
              <a:t> efficiente senza short selling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efficiente senza short selling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E26-4436-9278-79EAB0FE943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26-4436-9278-79EAB0FE943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26-4436-9278-79EAB0FE943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26-4436-9278-79EAB0FE943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26-4436-9278-79EAB0FE943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26-4436-9278-79EAB0FE943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26-4436-9278-79EAB0FE943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26-4436-9278-79EAB0FE943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26-4436-9278-79EAB0FE943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E26-4436-9278-79EAB0FE94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'A3'!$D$28:$D$37</c:f>
              <c:numCache>
                <c:formatCode>0.000000</c:formatCode>
                <c:ptCount val="10"/>
                <c:pt idx="0">
                  <c:v>0.10639567094998663</c:v>
                </c:pt>
                <c:pt idx="1">
                  <c:v>8.3653082543642954E-2</c:v>
                </c:pt>
                <c:pt idx="2">
                  <c:v>6.4805872693877192E-2</c:v>
                </c:pt>
                <c:pt idx="3">
                  <c:v>5.2407338917314632E-2</c:v>
                </c:pt>
                <c:pt idx="4">
                  <c:v>4.3080700314634568E-2</c:v>
                </c:pt>
                <c:pt idx="5">
                  <c:v>3.7867831612976167E-2</c:v>
                </c:pt>
                <c:pt idx="6">
                  <c:v>3.7920253735132921E-2</c:v>
                </c:pt>
                <c:pt idx="7">
                  <c:v>4.3900286305552462E-2</c:v>
                </c:pt>
                <c:pt idx="8">
                  <c:v>6.6913634736717909E-2</c:v>
                </c:pt>
                <c:pt idx="9">
                  <c:v>0.14436650453866842</c:v>
                </c:pt>
              </c:numCache>
            </c:numRef>
          </c:xVal>
          <c:yVal>
            <c:numRef>
              <c:f>'A3'!$B$28:$B$37</c:f>
              <c:numCache>
                <c:formatCode>0.000000</c:formatCode>
                <c:ptCount val="10"/>
                <c:pt idx="0">
                  <c:v>-1.531E-3</c:v>
                </c:pt>
                <c:pt idx="1">
                  <c:v>7.8419997205497684E-4</c:v>
                </c:pt>
                <c:pt idx="2">
                  <c:v>3.0991999468564725E-3</c:v>
                </c:pt>
                <c:pt idx="3">
                  <c:v>5.4142006036024962E-3</c:v>
                </c:pt>
                <c:pt idx="4">
                  <c:v>7.7291999704588079E-3</c:v>
                </c:pt>
                <c:pt idx="5">
                  <c:v>1.004420007015349E-2</c:v>
                </c:pt>
                <c:pt idx="6">
                  <c:v>1.2359199970546693E-2</c:v>
                </c:pt>
                <c:pt idx="7">
                  <c:v>1.4674200003362E-2</c:v>
                </c:pt>
                <c:pt idx="8">
                  <c:v>1.698900001768875E-2</c:v>
                </c:pt>
                <c:pt idx="9">
                  <c:v>2.1621016974074387E-2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E26-4436-9278-79EAB0FE943B}"/>
            </c:ext>
          </c:extLst>
        </c:ser>
        <c:ser>
          <c:idx val="3"/>
          <c:order val="1"/>
          <c:tx>
            <c:v>Parte superiore frontiera efficiente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F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47E-4C83-ADE5-9698A054F7D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7E-4C83-ADE5-9698A054F7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7E-4C83-ADE5-9698A054F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'A3'!$D$42:$D$44</c:f>
              <c:numCache>
                <c:formatCode>0.000000</c:formatCode>
                <c:ptCount val="3"/>
                <c:pt idx="0">
                  <c:v>3.7227758708269582E-2</c:v>
                </c:pt>
                <c:pt idx="1">
                  <c:v>3.8750738627755486E-2</c:v>
                </c:pt>
                <c:pt idx="2">
                  <c:v>4.390031163493658E-2</c:v>
                </c:pt>
              </c:numCache>
            </c:numRef>
          </c:xVal>
          <c:yVal>
            <c:numRef>
              <c:f>'A3'!$B$42:$B$44</c:f>
              <c:numCache>
                <c:formatCode>0.000000</c:formatCode>
                <c:ptCount val="3"/>
                <c:pt idx="0">
                  <c:v>1.1178721270245568E-2</c:v>
                </c:pt>
                <c:pt idx="1">
                  <c:v>1.2939007643349537E-2</c:v>
                </c:pt>
                <c:pt idx="2">
                  <c:v>1.4674203889543665E-2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7E-4C83-ADE5-9698A054F7D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901708271"/>
        <c:axId val="901713551"/>
        <c:extLst/>
      </c:scatterChart>
      <c:valAx>
        <c:axId val="90170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1713551"/>
        <c:crosses val="autoZero"/>
        <c:crossBetween val="midCat"/>
      </c:valAx>
      <c:valAx>
        <c:axId val="90171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1708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</a:t>
            </a:r>
            <a:r>
              <a:rPr lang="it-IT" baseline="0"/>
              <a:t> frontiera con e senza short selling ammesso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efficiente con short selling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76-47CE-9871-FCF160A0D6F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976-47CE-9871-FCF160A0D6F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76-47CE-9871-FCF160A0D6F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76-47CE-9871-FCF160A0D6F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76-47CE-9871-FCF160A0D6F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76-47CE-9871-FCF160A0D6F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76-47CE-9871-FCF160A0D6F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76-47CE-9871-FCF160A0D6F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976-47CE-9871-FCF160A0D6F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76-47CE-9871-FCF160A0D6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'A2-risolutore'!$D$28:$D$37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'A2-risolutore'!$B$28:$B$37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976-47CE-9871-FCF160A0D6F5}"/>
            </c:ext>
          </c:extLst>
        </c:ser>
        <c:ser>
          <c:idx val="1"/>
          <c:order val="1"/>
          <c:tx>
            <c:v>Parte superiore frontiera efficiente con short selling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976-47CE-9871-FCF160A0D6F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76-47CE-9871-FCF160A0D6F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976-47CE-9871-FCF160A0D6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'A2-risolutore'!$D$44:$D$46</c:f>
              <c:numCache>
                <c:formatCode>0.000000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'A2-risolutore'!$B$44:$B$46</c:f>
              <c:numCache>
                <c:formatCode>0.000000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976-47CE-9871-FCF160A0D6F5}"/>
            </c:ext>
          </c:extLst>
        </c:ser>
        <c:ser>
          <c:idx val="2"/>
          <c:order val="2"/>
          <c:tx>
            <c:v>Frontiera efficiente senza short selling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7976-47CE-9871-FCF160A0D6F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976-47CE-9871-FCF160A0D6F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76-47CE-9871-FCF160A0D6F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976-47CE-9871-FCF160A0D6F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976-47CE-9871-FCF160A0D6F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976-47CE-9871-FCF160A0D6F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976-47CE-9871-FCF160A0D6F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976-47CE-9871-FCF160A0D6F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976-47CE-9871-FCF160A0D6F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7976-47CE-9871-FCF160A0D6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'A3'!$D$28:$D$37</c:f>
              <c:numCache>
                <c:formatCode>0.000000</c:formatCode>
                <c:ptCount val="10"/>
                <c:pt idx="0">
                  <c:v>0.10639567094998663</c:v>
                </c:pt>
                <c:pt idx="1">
                  <c:v>8.3653082543642954E-2</c:v>
                </c:pt>
                <c:pt idx="2">
                  <c:v>6.4805872693877192E-2</c:v>
                </c:pt>
                <c:pt idx="3">
                  <c:v>5.2407338917314632E-2</c:v>
                </c:pt>
                <c:pt idx="4">
                  <c:v>4.3080700314634568E-2</c:v>
                </c:pt>
                <c:pt idx="5">
                  <c:v>3.7867831612976167E-2</c:v>
                </c:pt>
                <c:pt idx="6">
                  <c:v>3.7920253735132921E-2</c:v>
                </c:pt>
                <c:pt idx="7">
                  <c:v>4.3900286305552462E-2</c:v>
                </c:pt>
                <c:pt idx="8">
                  <c:v>6.6913634736717909E-2</c:v>
                </c:pt>
                <c:pt idx="9">
                  <c:v>0.14436650453866842</c:v>
                </c:pt>
              </c:numCache>
            </c:numRef>
          </c:xVal>
          <c:yVal>
            <c:numRef>
              <c:f>'A3'!$B$28:$B$37</c:f>
              <c:numCache>
                <c:formatCode>0.000000</c:formatCode>
                <c:ptCount val="10"/>
                <c:pt idx="0">
                  <c:v>-1.531E-3</c:v>
                </c:pt>
                <c:pt idx="1">
                  <c:v>7.8419997205497684E-4</c:v>
                </c:pt>
                <c:pt idx="2">
                  <c:v>3.0991999468564725E-3</c:v>
                </c:pt>
                <c:pt idx="3">
                  <c:v>5.4142006036024962E-3</c:v>
                </c:pt>
                <c:pt idx="4">
                  <c:v>7.7291999704588079E-3</c:v>
                </c:pt>
                <c:pt idx="5">
                  <c:v>1.004420007015349E-2</c:v>
                </c:pt>
                <c:pt idx="6">
                  <c:v>1.2359199970546693E-2</c:v>
                </c:pt>
                <c:pt idx="7">
                  <c:v>1.4674200003362E-2</c:v>
                </c:pt>
                <c:pt idx="8">
                  <c:v>1.698900001768875E-2</c:v>
                </c:pt>
                <c:pt idx="9">
                  <c:v>2.1621016974074387E-2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976-47CE-9871-FCF160A0D6F5}"/>
            </c:ext>
          </c:extLst>
        </c:ser>
        <c:ser>
          <c:idx val="3"/>
          <c:order val="3"/>
          <c:tx>
            <c:v>Parte superiore frontiera efficiente senza short selling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50-4E45-87B1-9C90519BF35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50-4E45-87B1-9C90519BF35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50-4E45-87B1-9C90519BF3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'A3'!$D$42:$D$44</c:f>
              <c:numCache>
                <c:formatCode>0.000000</c:formatCode>
                <c:ptCount val="3"/>
                <c:pt idx="0">
                  <c:v>3.7227758708269582E-2</c:v>
                </c:pt>
                <c:pt idx="1">
                  <c:v>3.8750738627755486E-2</c:v>
                </c:pt>
                <c:pt idx="2">
                  <c:v>4.390031163493658E-2</c:v>
                </c:pt>
              </c:numCache>
            </c:numRef>
          </c:xVal>
          <c:yVal>
            <c:numRef>
              <c:f>'A3'!$B$42:$B$44</c:f>
              <c:numCache>
                <c:formatCode>0.000000</c:formatCode>
                <c:ptCount val="3"/>
                <c:pt idx="0">
                  <c:v>1.1178721270245568E-2</c:v>
                </c:pt>
                <c:pt idx="1">
                  <c:v>1.2939007643349537E-2</c:v>
                </c:pt>
                <c:pt idx="2">
                  <c:v>1.4674203889543665E-2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50-4E45-87B1-9C90519BF35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33236207"/>
        <c:axId val="433233327"/>
      </c:scatterChart>
      <c:valAx>
        <c:axId val="4332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3327"/>
        <c:crosses val="autoZero"/>
        <c:crossBetween val="midCat"/>
      </c:valAx>
      <c:valAx>
        <c:axId val="4332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Frontiera</a:t>
            </a:r>
            <a:r>
              <a:rPr lang="it-IT" baseline="0"/>
              <a:t> efficiente con short selling e portafoglio di mercato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efficiente con short selling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'A4-short selling ammesso'!$D$28:$D$37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'A4-short selling ammesso'!$B$28:$B$37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1C-4E55-BF3E-D7F9D8825DF5}"/>
            </c:ext>
          </c:extLst>
        </c:ser>
        <c:ser>
          <c:idx val="1"/>
          <c:order val="1"/>
          <c:tx>
            <c:v>Parte superiore frontiera efficiente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'A4-short selling ammesso'!$D$44:$D$46</c:f>
              <c:numCache>
                <c:formatCode>General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'A4-short selling ammesso'!$B$44:$B$46</c:f>
              <c:numCache>
                <c:formatCode>General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1C-4E55-BF3E-D7F9D8825DF5}"/>
            </c:ext>
          </c:extLst>
        </c:ser>
        <c:ser>
          <c:idx val="2"/>
          <c:order val="2"/>
          <c:tx>
            <c:v>Portafoglio di mercato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PDM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1C-4E55-BF3E-D7F9D8825D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'A4-short selling ammesso'!$T$3</c:f>
              <c:numCache>
                <c:formatCode>0.000000</c:formatCode>
                <c:ptCount val="1"/>
                <c:pt idx="0">
                  <c:v>5.1965105457701159E-2</c:v>
                </c:pt>
              </c:numCache>
            </c:numRef>
          </c:xVal>
          <c:yVal>
            <c:numRef>
              <c:f>'A4-short selling ammesso'!$R$3</c:f>
              <c:numCache>
                <c:formatCode>0.000000</c:formatCode>
                <c:ptCount val="1"/>
                <c:pt idx="0">
                  <c:v>1.378884467263585E-2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1C-4E55-BF3E-D7F9D8825D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33236207"/>
        <c:axId val="433233327"/>
      </c:scatterChart>
      <c:valAx>
        <c:axId val="4332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3327"/>
        <c:crosses val="autoZero"/>
        <c:crossBetween val="midCat"/>
      </c:valAx>
      <c:valAx>
        <c:axId val="4332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Frontiera</a:t>
            </a:r>
            <a:r>
              <a:rPr lang="it-IT" baseline="0"/>
              <a:t> efficiente senza short selling e portafoglio di mercato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Portafoglio di mercato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PDM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79C-4165-B692-44EE05DA8D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'A4-short selling non ammesso'!$D$48</c:f>
              <c:numCache>
                <c:formatCode>0.000000</c:formatCode>
                <c:ptCount val="1"/>
                <c:pt idx="0">
                  <c:v>5.1965105457701159E-2</c:v>
                </c:pt>
              </c:numCache>
            </c:numRef>
          </c:xVal>
          <c:yVal>
            <c:numRef>
              <c:f>'A4-short selling non ammesso'!$B$48</c:f>
              <c:numCache>
                <c:formatCode>0.000000</c:formatCode>
                <c:ptCount val="1"/>
                <c:pt idx="0">
                  <c:v>1.378884467263585E-2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9C-4165-B692-44EE05DA8DA2}"/>
            </c:ext>
          </c:extLst>
        </c:ser>
        <c:ser>
          <c:idx val="2"/>
          <c:order val="2"/>
          <c:tx>
            <c:v>Frontiera efficiente senza short selling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'A4-short selling non ammesso'!$D$28:$D$37</c:f>
              <c:numCache>
                <c:formatCode>0.000000</c:formatCode>
                <c:ptCount val="10"/>
                <c:pt idx="0">
                  <c:v>0.10639567094998663</c:v>
                </c:pt>
                <c:pt idx="1">
                  <c:v>8.3653082543642954E-2</c:v>
                </c:pt>
                <c:pt idx="2">
                  <c:v>6.4805872693877192E-2</c:v>
                </c:pt>
                <c:pt idx="3">
                  <c:v>5.2407338917314632E-2</c:v>
                </c:pt>
                <c:pt idx="4">
                  <c:v>4.3080700314634568E-2</c:v>
                </c:pt>
                <c:pt idx="5">
                  <c:v>3.7867831612976167E-2</c:v>
                </c:pt>
                <c:pt idx="6">
                  <c:v>3.7920253735132921E-2</c:v>
                </c:pt>
                <c:pt idx="7">
                  <c:v>4.3900286305552462E-2</c:v>
                </c:pt>
                <c:pt idx="8">
                  <c:v>6.6913634736717909E-2</c:v>
                </c:pt>
                <c:pt idx="9">
                  <c:v>0.14436650453866842</c:v>
                </c:pt>
              </c:numCache>
            </c:numRef>
          </c:xVal>
          <c:yVal>
            <c:numRef>
              <c:f>'A4-short selling non ammesso'!$B$28:$B$37</c:f>
              <c:numCache>
                <c:formatCode>0.000000</c:formatCode>
                <c:ptCount val="10"/>
                <c:pt idx="0">
                  <c:v>-1.531E-3</c:v>
                </c:pt>
                <c:pt idx="1">
                  <c:v>7.8419997205497684E-4</c:v>
                </c:pt>
                <c:pt idx="2">
                  <c:v>3.0991999468564725E-3</c:v>
                </c:pt>
                <c:pt idx="3">
                  <c:v>5.4142006036024962E-3</c:v>
                </c:pt>
                <c:pt idx="4">
                  <c:v>7.7291999704588079E-3</c:v>
                </c:pt>
                <c:pt idx="5">
                  <c:v>1.004420007015349E-2</c:v>
                </c:pt>
                <c:pt idx="6">
                  <c:v>1.2359199970546693E-2</c:v>
                </c:pt>
                <c:pt idx="7">
                  <c:v>1.4674200003362E-2</c:v>
                </c:pt>
                <c:pt idx="8">
                  <c:v>1.698900001768875E-2</c:v>
                </c:pt>
                <c:pt idx="9">
                  <c:v>2.1621016974074387E-2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9C-4165-B692-44EE05DA8DA2}"/>
            </c:ext>
          </c:extLst>
        </c:ser>
        <c:ser>
          <c:idx val="3"/>
          <c:order val="3"/>
          <c:tx>
            <c:v>Parte superiore frontiera efficiente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'A4-short selling non ammesso'!$D$41:$D$43</c:f>
              <c:numCache>
                <c:formatCode>0.000000</c:formatCode>
                <c:ptCount val="3"/>
                <c:pt idx="0">
                  <c:v>3.7227758708269582E-2</c:v>
                </c:pt>
                <c:pt idx="1">
                  <c:v>3.8750738627755486E-2</c:v>
                </c:pt>
                <c:pt idx="2">
                  <c:v>4.390031163493658E-2</c:v>
                </c:pt>
              </c:numCache>
            </c:numRef>
          </c:xVal>
          <c:yVal>
            <c:numRef>
              <c:f>'A4-short selling non ammesso'!$B$41:$B$43</c:f>
              <c:numCache>
                <c:formatCode>0.000000</c:formatCode>
                <c:ptCount val="3"/>
                <c:pt idx="0">
                  <c:v>1.1178721270245568E-2</c:v>
                </c:pt>
                <c:pt idx="1">
                  <c:v>1.2939007643349537E-2</c:v>
                </c:pt>
                <c:pt idx="2">
                  <c:v>1.4674203889543665E-2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B4-490B-827F-85123A8D01C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46967408"/>
        <c:axId val="4469563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multiLvlStrRef>
                    <c:extLst>
                      <c:ext uri="{02D57815-91ED-43cb-92C2-25804820EDAC}">
                        <c15:formulaRef>
                          <c15:sqref>'A4-short selling non ammesso'!$B$46:$D$47</c15:sqref>
                        </c15:formulaRef>
                      </c:ext>
                    </c:extLst>
                    <c:multiLvlStrCache>
                      <c:ptCount val="2"/>
                      <c:lvl>
                        <c:pt idx="1">
                          <c:v>Deviazione standard</c:v>
                        </c:pt>
                      </c:lvl>
                      <c:lvl>
                        <c:pt idx="1">
                          <c:v>Varianza</c:v>
                        </c:pt>
                      </c:lvl>
                      <c:lvl>
                        <c:pt idx="0">
                          <c:v>INDICE NASDAQ</c:v>
                        </c:pt>
                        <c:pt idx="1">
                          <c:v>Rendimento atteso</c:v>
                        </c:pt>
                      </c:lvl>
                    </c:multiLvlStrCache>
                  </c:multiLvlStrRef>
                </c:xVal>
                <c:yVal>
                  <c:numRef>
                    <c:extLst>
                      <c:ext uri="{02D57815-91ED-43cb-92C2-25804820EDAC}">
                        <c15:formulaRef>
                          <c15:sqref>'A4-short selling non ammesso'!$B$48:$D$48</c15:sqref>
                        </c15:formulaRef>
                      </c:ext>
                    </c:extLst>
                    <c:numCache>
                      <c:formatCode>0.000000</c:formatCode>
                      <c:ptCount val="3"/>
                      <c:pt idx="0">
                        <c:v>1.378884467263585E-2</c:v>
                      </c:pt>
                      <c:pt idx="1">
                        <c:v>2.7003721852300031E-3</c:v>
                      </c:pt>
                      <c:pt idx="2">
                        <c:v>5.1965105457701159E-2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F79C-4165-B692-44EE05DA8DA2}"/>
                  </c:ext>
                </c:extLst>
              </c15:ser>
            </c15:filteredScatterSeries>
          </c:ext>
        </c:extLst>
      </c:scatterChart>
      <c:valAx>
        <c:axId val="44696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 standard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956368"/>
        <c:crosses val="autoZero"/>
        <c:crossBetween val="midCat"/>
      </c:valAx>
      <c:valAx>
        <c:axId val="4469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96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Frontiera</a:t>
            </a:r>
            <a:r>
              <a:rPr lang="it-IT" baseline="0"/>
              <a:t> efficiente con short selling e portafoglio EW con 5 titoli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efficiente con short selling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17-43CB-B80B-5F5BC2F6293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17-43CB-B80B-5F5BC2F6293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17-43CB-B80B-5F5BC2F6293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17-43CB-B80B-5F5BC2F6293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17-43CB-B80B-5F5BC2F6293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17-43CB-B80B-5F5BC2F6293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717-43CB-B80B-5F5BC2F6293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17-43CB-B80B-5F5BC2F6293C}"/>
                </c:ext>
              </c:extLst>
            </c:dLbl>
            <c:dLbl>
              <c:idx val="8"/>
              <c:layout>
                <c:manualLayout>
                  <c:x val="-2.5100401606425765E-2"/>
                  <c:y val="-4.337671004337677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717-43CB-B80B-5F5BC2F6293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17-43CB-B80B-5F5BC2F6293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17-43CB-B80B-5F5BC2F629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'A5-EW con 5 titoli'!$D$28:$D$38</c:f>
              <c:numCache>
                <c:formatCode>0.000000</c:formatCode>
                <c:ptCount val="11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4.7345899521317632E-2</c:v>
                </c:pt>
                <c:pt idx="9">
                  <c:v>7.387776707136455E-2</c:v>
                </c:pt>
                <c:pt idx="10">
                  <c:v>8.9597681289088446E-2</c:v>
                </c:pt>
              </c:numCache>
            </c:numRef>
          </c:xVal>
          <c:yVal>
            <c:numRef>
              <c:f>'A5-EW con 5 titoli'!$B$28:$B$38</c:f>
              <c:numCache>
                <c:formatCode>0.000000</c:formatCode>
                <c:ptCount val="11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1.5965670218568026E-2</c:v>
                </c:pt>
                <c:pt idx="9">
                  <c:v>2.1621011240111267E-2</c:v>
                </c:pt>
                <c:pt idx="10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9C-4B69-A826-C37B90A257C9}"/>
            </c:ext>
          </c:extLst>
        </c:ser>
        <c:ser>
          <c:idx val="1"/>
          <c:order val="1"/>
          <c:tx>
            <c:v>Parte superiore frontiera efficiente con short selling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17-43CB-B80B-5F5BC2F6293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17-43CB-B80B-5F5BC2F6293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0516225005006904"/>
                      <c:h val="8.33668313983274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717-43CB-B80B-5F5BC2F629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'A5-EW con 5 titoli'!$D$45:$D$47</c:f>
              <c:numCache>
                <c:formatCode>0.000000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'A5-EW con 5 titoli'!$B$45:$B$47</c:f>
              <c:numCache>
                <c:formatCode>0.000000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9C-4B69-A826-C37B90A257C9}"/>
            </c:ext>
          </c:extLst>
        </c:ser>
        <c:ser>
          <c:idx val="2"/>
          <c:order val="2"/>
          <c:tx>
            <c:v>Equally weighted con 5 titoli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EW5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A9C-4B69-A826-C37B90A25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'A5-EW con 5 titoli'!$F$22</c:f>
              <c:numCache>
                <c:formatCode>0.000000</c:formatCode>
                <c:ptCount val="1"/>
                <c:pt idx="0">
                  <c:v>4.7345890192228027E-2</c:v>
                </c:pt>
              </c:numCache>
            </c:numRef>
          </c:xVal>
          <c:yVal>
            <c:numRef>
              <c:f>'A5-EW con 5 titoli'!$F$18</c:f>
              <c:numCache>
                <c:formatCode>0.000000</c:formatCode>
                <c:ptCount val="1"/>
                <c:pt idx="0">
                  <c:v>1.1270078766024288E-2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9C-4B69-A826-C37B90A257C9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33236207"/>
        <c:axId val="43323332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Portafoglio di mercato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Port.mercato</a:t>
                          </a:r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FA9C-4B69-A826-C37B90A257C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'A5-EW con 5 titoli'!$D$51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5.1965105457701159E-2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'A5-EW con 5 titoli'!$B$51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1.378884467263585E-2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FA9C-4B69-A826-C37B90A257C9}"/>
                  </c:ext>
                </c:extLst>
              </c15:ser>
            </c15:filteredScatterSeries>
          </c:ext>
        </c:extLst>
      </c:scatterChart>
      <c:valAx>
        <c:axId val="4332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3327"/>
        <c:crosses val="autoZero"/>
        <c:crossBetween val="midCat"/>
      </c:valAx>
      <c:valAx>
        <c:axId val="4332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Rendimenti</a:t>
                </a:r>
                <a:r>
                  <a:rPr lang="it-IT" baseline="0"/>
                  <a:t> attesi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Frontiera efficiente con short selling e portafoglio EW con 10 titoli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Frontiera efficiente con short selling ammesso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DA-4EFC-B8A7-3253F9D7B5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DA-4EFC-B8A7-3253F9D7B57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DA-4EFC-B8A7-3253F9D7B57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DA-4EFC-B8A7-3253F9D7B5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DA-4EFC-B8A7-3253F9D7B57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DA-4EFC-B8A7-3253F9D7B57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DA-4EFC-B8A7-3253F9D7B57C}"/>
                </c:ext>
              </c:extLst>
            </c:dLbl>
            <c:dLbl>
              <c:idx val="7"/>
              <c:layout>
                <c:manualLayout>
                  <c:x val="-2.5734181047532601E-2"/>
                  <c:y val="-1.85185185185185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CDA-4EFC-B8A7-3253F9D7B57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DA-4EFC-B8A7-3253F9D7B57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DA-4EFC-B8A7-3253F9D7B57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DA-4EFC-B8A7-3253F9D7B5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'A5-EW con 10 titoli'!$D$31:$D$41</c:f>
              <c:numCache>
                <c:formatCode>0.000000</c:formatCode>
                <c:ptCount val="11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4.5954732597955961E-2</c:v>
                </c:pt>
                <c:pt idx="8">
                  <c:v>4.6849357509775258E-2</c:v>
                </c:pt>
                <c:pt idx="9">
                  <c:v>7.387776707136455E-2</c:v>
                </c:pt>
                <c:pt idx="10">
                  <c:v>8.9597681289088446E-2</c:v>
                </c:pt>
              </c:numCache>
            </c:numRef>
          </c:xVal>
          <c:yVal>
            <c:numRef>
              <c:f>'A5-EW con 10 titoli'!$B$31:$B$41</c:f>
              <c:numCache>
                <c:formatCode>0.000000</c:formatCode>
                <c:ptCount val="11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1.5587707125358501E-2</c:v>
                </c:pt>
                <c:pt idx="8">
                  <c:v>1.5833011240432671E-2</c:v>
                </c:pt>
                <c:pt idx="9">
                  <c:v>2.1621011240111267E-2</c:v>
                </c:pt>
                <c:pt idx="10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EC-4957-9E62-DE794A6E8D11}"/>
            </c:ext>
          </c:extLst>
        </c:ser>
        <c:ser>
          <c:idx val="1"/>
          <c:order val="1"/>
          <c:tx>
            <c:v>Parte superiore frontiera efficiente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78-45E2-B85A-69FCE89FFE1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DA-4EFC-B8A7-3253F9D7B5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DA-4EFC-B8A7-3253F9D7B57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78-45E2-B85A-69FCE89FF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'A5-EW con 10 titoli'!$D$48:$D$50</c:f>
              <c:numCache>
                <c:formatCode>0.000000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'A5-EW con 10 titoli'!$B$48:$B$50</c:f>
              <c:numCache>
                <c:formatCode>0.000000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EC-4957-9E62-DE794A6E8D11}"/>
            </c:ext>
          </c:extLst>
        </c:ser>
        <c:ser>
          <c:idx val="4"/>
          <c:order val="4"/>
          <c:tx>
            <c:v>Equally weighted con 10 titoli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EW10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6EC-4957-9E62-DE794A6E8D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'A5-EW con 10 titoli'!$G$22</c:f>
              <c:numCache>
                <c:formatCode>0.000000</c:formatCode>
                <c:ptCount val="1"/>
                <c:pt idx="0">
                  <c:v>4.5954726149132472E-2</c:v>
                </c:pt>
              </c:numCache>
            </c:numRef>
          </c:xVal>
          <c:yVal>
            <c:numRef>
              <c:f>'A5-EW con 10 titoli'!$G$18</c:f>
              <c:numCache>
                <c:formatCode>0.000000</c:formatCode>
                <c:ptCount val="1"/>
                <c:pt idx="0">
                  <c:v>1.4367106576803545E-2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6EC-4957-9E62-DE794A6E8D11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33236207"/>
        <c:axId val="4332333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equally weighted 5 titoli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EW5</a:t>
                          </a:r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86EC-4957-9E62-DE794A6E8D1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'[1]EW con 5 titoli'!$F$22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4.7345890192228027E-2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'[1]EW con 5 titoli'!$F$18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1.1270078766024288E-2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86EC-4957-9E62-DE794A6E8D1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Portafoglio di mercato con 10 titoli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'A5-EW con 10 titoli'!$G$22</c15:sqref>
                        </c15:formulaRef>
                      </c:ext>
                    </c:extLst>
                    <c:numCache>
                      <c:formatCode>0.000000</c:formatCode>
                      <c:ptCount val="1"/>
                      <c:pt idx="0">
                        <c:v>4.5954726149132472E-2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'A5-EW con 10 titoli'!$G$18</c15:sqref>
                        </c15:formulaRef>
                      </c:ext>
                    </c:extLst>
                    <c:numCache>
                      <c:formatCode>0.000000</c:formatCode>
                      <c:ptCount val="1"/>
                      <c:pt idx="0">
                        <c:v>1.4367106576803545E-2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EC-4957-9E62-DE794A6E8D11}"/>
                  </c:ext>
                </c:extLst>
              </c15:ser>
            </c15:filteredScatterSeries>
          </c:ext>
        </c:extLst>
      </c:scatterChart>
      <c:valAx>
        <c:axId val="43323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3327"/>
        <c:crosses val="autoZero"/>
        <c:crossBetween val="midCat"/>
      </c:valAx>
      <c:valAx>
        <c:axId val="43323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Rendimenti</a:t>
                </a:r>
                <a:r>
                  <a:rPr lang="it-IT" baseline="0"/>
                  <a:t> attesi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323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'A6'!$B$23</c:f>
              <c:strCache>
                <c:ptCount val="1"/>
                <c:pt idx="0">
                  <c:v>Titolo free risk T-BILL USA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2D-4640-A861-2B55F36D0D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Ref>
              <c:f>'A6'!$C$23</c:f>
              <c:numCache>
                <c:formatCode>0.000000</c:formatCode>
                <c:ptCount val="1"/>
                <c:pt idx="0">
                  <c:v>7.8416666666666669E-3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3-46CC-B32A-C71FCA8F3BE8}"/>
            </c:ext>
          </c:extLst>
        </c:ser>
        <c:ser>
          <c:idx val="3"/>
          <c:order val="1"/>
          <c:tx>
            <c:v>Portafoglio di tangenza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2D-4640-A861-2B55F36D0D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'A6'!$D$41</c:f>
              <c:numCache>
                <c:formatCode>0.000000</c:formatCode>
                <c:ptCount val="1"/>
                <c:pt idx="0">
                  <c:v>7.7489568048271451E-2</c:v>
                </c:pt>
              </c:numCache>
            </c:numRef>
          </c:xVal>
          <c:yVal>
            <c:numRef>
              <c:f>'A6'!$B$41</c:f>
              <c:numCache>
                <c:formatCode>0.000000</c:formatCode>
                <c:ptCount val="1"/>
                <c:pt idx="0">
                  <c:v>2.2299931022739874E-2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43-46CC-B32A-C71FCA8F3BE8}"/>
            </c:ext>
          </c:extLst>
        </c:ser>
        <c:ser>
          <c:idx val="4"/>
          <c:order val="2"/>
          <c:tx>
            <c:v>Frontiera efficiente con short selling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'A6'!$D$29:$D$38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'A6'!$B$29:$B$38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B-495D-ABF0-7EB6EE04A186}"/>
            </c:ext>
          </c:extLst>
        </c:ser>
        <c:ser>
          <c:idx val="1"/>
          <c:order val="3"/>
          <c:tx>
            <c:v>Parte superiore frontiera efficiente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'A6'!$D$47:$D$49</c:f>
              <c:numCache>
                <c:formatCode>0.000000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'A6'!$B$47:$B$49</c:f>
              <c:numCache>
                <c:formatCode>0.000000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3-46CC-B32A-C71FCA8F3BE8}"/>
            </c:ext>
          </c:extLst>
        </c:ser>
        <c:ser>
          <c:idx val="2"/>
          <c:order val="4"/>
          <c:tx>
            <c:v>Cal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2D-4640-A861-2B55F36D0DD7}"/>
                </c:ext>
              </c:extLst>
            </c:dLbl>
            <c:dLbl>
              <c:idx val="1"/>
              <c:layout>
                <c:manualLayout>
                  <c:x val="-2.107699805068226E-2"/>
                  <c:y val="-5.79710144927536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62D-4640-A861-2B55F36D0D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2D-4640-A861-2B55F36D0D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'A6'!$D$54:$D$56</c:f>
              <c:numCache>
                <c:formatCode>0.000000</c:formatCode>
                <c:ptCount val="3"/>
                <c:pt idx="0">
                  <c:v>0</c:v>
                </c:pt>
                <c:pt idx="1">
                  <c:v>7.7489568048271451E-2</c:v>
                </c:pt>
                <c:pt idx="2">
                  <c:v>0.1549791360965429</c:v>
                </c:pt>
              </c:numCache>
            </c:numRef>
          </c:xVal>
          <c:yVal>
            <c:numRef>
              <c:f>'A6'!$C$54:$C$56</c:f>
              <c:numCache>
                <c:formatCode>0.000000</c:formatCode>
                <c:ptCount val="3"/>
                <c:pt idx="0">
                  <c:v>7.8416666666666669E-3</c:v>
                </c:pt>
                <c:pt idx="1">
                  <c:v>2.2299931022739874E-2</c:v>
                </c:pt>
                <c:pt idx="2">
                  <c:v>3.6758195378813086E-2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43-46CC-B32A-C71FCA8F3BE8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2003525200"/>
        <c:axId val="2003525680"/>
      </c:scatterChart>
      <c:valAx>
        <c:axId val="20035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525680"/>
        <c:crosses val="autoZero"/>
        <c:crossBetween val="midCat"/>
      </c:valAx>
      <c:valAx>
        <c:axId val="20035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52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Portafoglio</a:t>
            </a:r>
            <a:r>
              <a:rPr lang="it-IT" baseline="0"/>
              <a:t> ottimo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Titolo risk free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Ref>
              <c:f>'A7'!$C$23</c:f>
              <c:numCache>
                <c:formatCode>0.000000</c:formatCode>
                <c:ptCount val="1"/>
                <c:pt idx="0">
                  <c:v>7.8416666666666669E-3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5-4FB6-BA71-A770F7F0CC6B}"/>
            </c:ext>
          </c:extLst>
        </c:ser>
        <c:ser>
          <c:idx val="1"/>
          <c:order val="1"/>
          <c:tx>
            <c:v>Frontiera efficiente con short selling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'A7'!$D$29:$D$38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'A7'!$B$29:$B$38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5-4FB6-BA71-A770F7F0CC6B}"/>
            </c:ext>
          </c:extLst>
        </c:ser>
        <c:ser>
          <c:idx val="2"/>
          <c:order val="2"/>
          <c:tx>
            <c:v>Cal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'A7'!$D$54:$D$56</c:f>
              <c:numCache>
                <c:formatCode>General</c:formatCode>
                <c:ptCount val="3"/>
                <c:pt idx="0">
                  <c:v>0</c:v>
                </c:pt>
                <c:pt idx="1">
                  <c:v>7.7489568048271451E-2</c:v>
                </c:pt>
                <c:pt idx="2">
                  <c:v>0.1549791360965429</c:v>
                </c:pt>
              </c:numCache>
            </c:numRef>
          </c:xVal>
          <c:yVal>
            <c:numRef>
              <c:f>'A7'!$C$54:$C$56</c:f>
              <c:numCache>
                <c:formatCode>General</c:formatCode>
                <c:ptCount val="3"/>
                <c:pt idx="0">
                  <c:v>7.8416666666666669E-3</c:v>
                </c:pt>
                <c:pt idx="1">
                  <c:v>2.2299931022739874E-2</c:v>
                </c:pt>
                <c:pt idx="2">
                  <c:v>3.6758195378813086E-2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5-4FB6-BA71-A770F7F0CC6B}"/>
            </c:ext>
          </c:extLst>
        </c:ser>
        <c:ser>
          <c:idx val="3"/>
          <c:order val="3"/>
          <c:tx>
            <c:v>Portafoglio di tangenza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'A7'!$D$41</c:f>
              <c:numCache>
                <c:formatCode>0.000000</c:formatCode>
                <c:ptCount val="1"/>
                <c:pt idx="0">
                  <c:v>7.7489568048271451E-2</c:v>
                </c:pt>
              </c:numCache>
            </c:numRef>
          </c:xVal>
          <c:yVal>
            <c:numRef>
              <c:f>'A7'!$B$41</c:f>
              <c:numCache>
                <c:formatCode>0.000000</c:formatCode>
                <c:ptCount val="1"/>
                <c:pt idx="0">
                  <c:v>2.2299931022739874E-2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5-4FB6-BA71-A770F7F0CC6B}"/>
            </c:ext>
          </c:extLst>
        </c:ser>
        <c:ser>
          <c:idx val="4"/>
          <c:order val="4"/>
          <c:tx>
            <c:v>Portafoglio ottimo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'A7'!$D$74</c:f>
              <c:numCache>
                <c:formatCode>0.000000</c:formatCode>
                <c:ptCount val="1"/>
                <c:pt idx="0">
                  <c:v>6.2194454988085436E-2</c:v>
                </c:pt>
              </c:numCache>
            </c:numRef>
          </c:xVal>
          <c:yVal>
            <c:numRef>
              <c:f>'A7'!$B$74</c:f>
              <c:numCache>
                <c:formatCode>0.000000</c:formatCode>
                <c:ptCount val="1"/>
                <c:pt idx="0">
                  <c:v>1.9446117360461625E-2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E5-4FB6-BA71-A770F7F0CC6B}"/>
            </c:ext>
          </c:extLst>
        </c:ser>
        <c:ser>
          <c:idx val="5"/>
          <c:order val="5"/>
          <c:tx>
            <c:v>Parte superiore frontiera efficiente con short selling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'A7'!$D$47:$D$49</c:f>
              <c:numCache>
                <c:formatCode>0.000000</c:formatCode>
                <c:ptCount val="3"/>
                <c:pt idx="0">
                  <c:v>3.7227760078356924E-2</c:v>
                </c:pt>
                <c:pt idx="1">
                  <c:v>3.8750731476930901E-2</c:v>
                </c:pt>
                <c:pt idx="2">
                  <c:v>4.6849376989695386E-2</c:v>
                </c:pt>
              </c:numCache>
            </c:numRef>
          </c:xVal>
          <c:yVal>
            <c:numRef>
              <c:f>'A7'!$B$47:$B$49</c:f>
              <c:numCache>
                <c:formatCode>0.000000</c:formatCode>
                <c:ptCount val="3"/>
                <c:pt idx="0">
                  <c:v>1.1178722106586264E-2</c:v>
                </c:pt>
                <c:pt idx="1">
                  <c:v>1.2939001068294827E-2</c:v>
                </c:pt>
                <c:pt idx="2">
                  <c:v>1.5833016088254014E-2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88-48A5-8565-B4C6DDE4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525200"/>
        <c:axId val="2003525680"/>
      </c:scatterChart>
      <c:valAx>
        <c:axId val="20035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Deviazione standard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525680"/>
        <c:crosses val="autoZero"/>
        <c:crossBetween val="midCat"/>
      </c:valAx>
      <c:valAx>
        <c:axId val="20035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Rendimento</a:t>
                </a:r>
                <a:r>
                  <a:rPr lang="it-IT" baseline="0"/>
                  <a:t> atteso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0352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</a:t>
            </a:r>
            <a:r>
              <a:rPr lang="it-IT" baseline="0"/>
              <a:t> SIM e Markowitz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Single Index Model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'B9-Single Index Model'!$C$31:$C$41</c:f>
              <c:numCache>
                <c:formatCode>0.000000</c:formatCode>
                <c:ptCount val="11"/>
                <c:pt idx="0">
                  <c:v>0.10122497934141615</c:v>
                </c:pt>
                <c:pt idx="1">
                  <c:v>8.5262503834664424E-2</c:v>
                </c:pt>
                <c:pt idx="2">
                  <c:v>7.0056427695947554E-2</c:v>
                </c:pt>
                <c:pt idx="3">
                  <c:v>5.6223737163306753E-2</c:v>
                </c:pt>
                <c:pt idx="4">
                  <c:v>4.5047883120044527E-2</c:v>
                </c:pt>
                <c:pt idx="5">
                  <c:v>3.8891031636621234E-2</c:v>
                </c:pt>
                <c:pt idx="6">
                  <c:v>4.0133675448490641E-2</c:v>
                </c:pt>
                <c:pt idx="7">
                  <c:v>4.8206946579275774E-2</c:v>
                </c:pt>
                <c:pt idx="8">
                  <c:v>7.4801662856943646E-2</c:v>
                </c:pt>
                <c:pt idx="9">
                  <c:v>8.5567881010585323E-2</c:v>
                </c:pt>
                <c:pt idx="10">
                  <c:v>9.0296602428895395E-2</c:v>
                </c:pt>
              </c:numCache>
            </c:numRef>
          </c:xVal>
          <c:yVal>
            <c:numRef>
              <c:f>'B9-Single Index Model'!$A$31:$A$41</c:f>
              <c:numCache>
                <c:formatCode>0.000000</c:formatCode>
                <c:ptCount val="11"/>
                <c:pt idx="0">
                  <c:v>-4.425011247891927E-3</c:v>
                </c:pt>
                <c:pt idx="1">
                  <c:v>-1.5309999891227714E-3</c:v>
                </c:pt>
                <c:pt idx="2">
                  <c:v>1.3629999998119816E-3</c:v>
                </c:pt>
                <c:pt idx="3">
                  <c:v>4.2569999882578471E-3</c:v>
                </c:pt>
                <c:pt idx="4">
                  <c:v>7.1509999769481455E-3</c:v>
                </c:pt>
                <c:pt idx="5">
                  <c:v>1.0044999965638443E-2</c:v>
                </c:pt>
                <c:pt idx="6">
                  <c:v>1.2939011224407345E-2</c:v>
                </c:pt>
                <c:pt idx="7">
                  <c:v>1.5833011213097634E-2</c:v>
                </c:pt>
                <c:pt idx="8">
                  <c:v>2.1620999920399359E-2</c:v>
                </c:pt>
                <c:pt idx="9">
                  <c:v>2.3647249864718806E-2</c:v>
                </c:pt>
                <c:pt idx="10">
                  <c:v>2.4514999909089664E-2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85-4D81-9954-F2D519CA5830}"/>
            </c:ext>
          </c:extLst>
        </c:ser>
        <c:ser>
          <c:idx val="4"/>
          <c:order val="1"/>
          <c:tx>
            <c:v>Markowitz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'A2-risolutore'!$D$28:$D$37</c:f>
              <c:numCache>
                <c:formatCode>0.000000</c:formatCode>
                <c:ptCount val="10"/>
                <c:pt idx="0">
                  <c:v>0.10236320414220396</c:v>
                </c:pt>
                <c:pt idx="1">
                  <c:v>8.6129608920291492E-2</c:v>
                </c:pt>
                <c:pt idx="2">
                  <c:v>7.0596879881899513E-2</c:v>
                </c:pt>
                <c:pt idx="3">
                  <c:v>5.634762917118296E-2</c:v>
                </c:pt>
                <c:pt idx="4">
                  <c:v>4.462865828713531E-2</c:v>
                </c:pt>
                <c:pt idx="5">
                  <c:v>3.7866937121708397E-2</c:v>
                </c:pt>
                <c:pt idx="6">
                  <c:v>3.8750724818317393E-2</c:v>
                </c:pt>
                <c:pt idx="7">
                  <c:v>4.6849357509775258E-2</c:v>
                </c:pt>
                <c:pt idx="8">
                  <c:v>7.387776707136455E-2</c:v>
                </c:pt>
                <c:pt idx="9">
                  <c:v>8.9597681289088446E-2</c:v>
                </c:pt>
              </c:numCache>
            </c:numRef>
          </c:xVal>
          <c:yVal>
            <c:numRef>
              <c:f>'A2-risolutore'!$B$28:$B$37</c:f>
              <c:numCache>
                <c:formatCode>0.000000</c:formatCode>
                <c:ptCount val="10"/>
                <c:pt idx="0">
                  <c:v>-4.4249999964856663E-3</c:v>
                </c:pt>
                <c:pt idx="1">
                  <c:v>-1.5310000167614753E-3</c:v>
                </c:pt>
                <c:pt idx="2">
                  <c:v>1.3629999711574281E-3</c:v>
                </c:pt>
                <c:pt idx="3">
                  <c:v>4.2569999735574092E-3</c:v>
                </c:pt>
                <c:pt idx="4">
                  <c:v>7.1509999708360842E-3</c:v>
                </c:pt>
                <c:pt idx="5">
                  <c:v>1.0044999970675388E-2</c:v>
                </c:pt>
                <c:pt idx="6">
                  <c:v>1.2938999970514498E-2</c:v>
                </c:pt>
                <c:pt idx="7">
                  <c:v>1.5833011240432671E-2</c:v>
                </c:pt>
                <c:pt idx="8">
                  <c:v>2.1621011240111267E-2</c:v>
                </c:pt>
                <c:pt idx="9">
                  <c:v>2.4515011239950556E-2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05-45E5-B5EE-45915BBF57BC}"/>
            </c:ext>
          </c:extLst>
        </c:ser>
        <c:ser>
          <c:idx val="2"/>
          <c:order val="2"/>
          <c:tx>
            <c:v>Portafoglio di tangenza punto 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'B9-Single Index Model'!$B$51</c:f>
              <c:numCache>
                <c:formatCode>0.000000</c:formatCode>
                <c:ptCount val="1"/>
                <c:pt idx="0">
                  <c:v>8.5567881010585323E-2</c:v>
                </c:pt>
              </c:numCache>
            </c:numRef>
          </c:xVal>
          <c:yVal>
            <c:numRef>
              <c:f>'B9-Single Index Model'!$B$49</c:f>
              <c:numCache>
                <c:formatCode>0.000000</c:formatCode>
                <c:ptCount val="1"/>
                <c:pt idx="0">
                  <c:v>2.3647249864718806E-2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53-4291-8ED9-D339868EEBFB}"/>
            </c:ext>
          </c:extLst>
        </c:ser>
        <c:ser>
          <c:idx val="5"/>
          <c:order val="3"/>
          <c:tx>
            <c:v>Min Var punto 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'A2-risolutore'!$D$44</c:f>
              <c:numCache>
                <c:formatCode>0.000000</c:formatCode>
                <c:ptCount val="1"/>
                <c:pt idx="0">
                  <c:v>3.7227760078356924E-2</c:v>
                </c:pt>
              </c:numCache>
            </c:numRef>
          </c:xVal>
          <c:yVal>
            <c:numRef>
              <c:f>'A2-risolutore'!$B$44</c:f>
              <c:numCache>
                <c:formatCode>0.000000</c:formatCode>
                <c:ptCount val="1"/>
                <c:pt idx="0">
                  <c:v>1.1178722106586264E-2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E0-48E7-867D-B1FACC9D2282}"/>
            </c:ext>
          </c:extLst>
        </c:ser>
        <c:ser>
          <c:idx val="6"/>
          <c:order val="4"/>
          <c:tx>
            <c:v>Min Var punto B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'B9-Single Index Model'!$C$46</c:f>
              <c:numCache>
                <c:formatCode>0.000000</c:formatCode>
                <c:ptCount val="1"/>
                <c:pt idx="0">
                  <c:v>3.8430416509181428E-2</c:v>
                </c:pt>
              </c:numCache>
            </c:numRef>
          </c:xVal>
          <c:yVal>
            <c:numRef>
              <c:f>'B9-Single Index Model'!$A$46</c:f>
              <c:numCache>
                <c:formatCode>0.000000</c:formatCode>
                <c:ptCount val="1"/>
                <c:pt idx="0">
                  <c:v>1.1029909131814723E-2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E0-48E7-867D-B1FACC9D2282}"/>
            </c:ext>
          </c:extLst>
        </c:ser>
        <c:ser>
          <c:idx val="1"/>
          <c:order val="5"/>
          <c:tx>
            <c:v>Portafoglio tangenza punto 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'A6'!$D$41</c:f>
              <c:numCache>
                <c:formatCode>0.000000</c:formatCode>
                <c:ptCount val="1"/>
                <c:pt idx="0">
                  <c:v>7.7489568048271451E-2</c:v>
                </c:pt>
              </c:numCache>
            </c:numRef>
          </c:xVal>
          <c:yVal>
            <c:numRef>
              <c:f>'A6'!$B$41</c:f>
              <c:numCache>
                <c:formatCode>0.000000</c:formatCode>
                <c:ptCount val="1"/>
                <c:pt idx="0">
                  <c:v>2.2299931022739874E-2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B6-4951-84C0-4A275F33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892495"/>
        <c:axId val="1894893935"/>
        <c:extLst/>
      </c:scatterChart>
      <c:valAx>
        <c:axId val="189489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Deviazioni</a:t>
                </a:r>
                <a:r>
                  <a:rPr lang="it-IT" baseline="0"/>
                  <a:t> standard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4893935"/>
        <c:crosses val="autoZero"/>
        <c:crossBetween val="midCat"/>
      </c:valAx>
      <c:valAx>
        <c:axId val="18948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Rendimenti</a:t>
                </a:r>
                <a:r>
                  <a:rPr lang="it-IT" baseline="0"/>
                  <a:t> attesi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489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Apple'!$F$25:$F$143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Apple'!$G$25:$G$143</c:f>
              <c:numCache>
                <c:formatCode>General</c:formatCode>
                <c:ptCount val="119"/>
                <c:pt idx="0">
                  <c:v>-0.18404440337292435</c:v>
                </c:pt>
                <c:pt idx="1">
                  <c:v>-0.13992127534421572</c:v>
                </c:pt>
                <c:pt idx="2">
                  <c:v>-0.12757278273694195</c:v>
                </c:pt>
                <c:pt idx="3">
                  <c:v>-0.12081646500117851</c:v>
                </c:pt>
                <c:pt idx="4">
                  <c:v>-0.11975611835073278</c:v>
                </c:pt>
                <c:pt idx="5">
                  <c:v>-0.11679733880939518</c:v>
                </c:pt>
                <c:pt idx="6">
                  <c:v>-0.11361644897448253</c:v>
                </c:pt>
                <c:pt idx="7">
                  <c:v>-0.11245722669145282</c:v>
                </c:pt>
                <c:pt idx="8">
                  <c:v>-0.10769672846204344</c:v>
                </c:pt>
                <c:pt idx="9">
                  <c:v>-0.10641942789336979</c:v>
                </c:pt>
                <c:pt idx="10">
                  <c:v>-0.10090827994491836</c:v>
                </c:pt>
                <c:pt idx="11">
                  <c:v>-9.7130923588707535E-2</c:v>
                </c:pt>
                <c:pt idx="12">
                  <c:v>-8.1085144396396858E-2</c:v>
                </c:pt>
                <c:pt idx="13">
                  <c:v>-8.0080178012459077E-2</c:v>
                </c:pt>
                <c:pt idx="14">
                  <c:v>-7.5242121190364761E-2</c:v>
                </c:pt>
                <c:pt idx="15">
                  <c:v>-7.0403987140290489E-2</c:v>
                </c:pt>
                <c:pt idx="16">
                  <c:v>-6.7866384388986956E-2</c:v>
                </c:pt>
                <c:pt idx="17">
                  <c:v>-6.7553977460820494E-2</c:v>
                </c:pt>
                <c:pt idx="18">
                  <c:v>-6.6640293045440974E-2</c:v>
                </c:pt>
                <c:pt idx="19">
                  <c:v>-6.0012123962493037E-2</c:v>
                </c:pt>
                <c:pt idx="20">
                  <c:v>-5.6553491888247646E-2</c:v>
                </c:pt>
                <c:pt idx="21">
                  <c:v>-5.5883128661130863E-2</c:v>
                </c:pt>
                <c:pt idx="22">
                  <c:v>-5.5269639054168103E-2</c:v>
                </c:pt>
                <c:pt idx="23">
                  <c:v>-5.4210676384016991E-2</c:v>
                </c:pt>
                <c:pt idx="24">
                  <c:v>-5.3322329348839244E-2</c:v>
                </c:pt>
                <c:pt idx="25">
                  <c:v>-5.2107200827231401E-2</c:v>
                </c:pt>
                <c:pt idx="26">
                  <c:v>-3.683087310247108E-2</c:v>
                </c:pt>
                <c:pt idx="27">
                  <c:v>-3.4629004467020254E-2</c:v>
                </c:pt>
                <c:pt idx="28">
                  <c:v>-3.3206063804172972E-2</c:v>
                </c:pt>
                <c:pt idx="29">
                  <c:v>-3.2926613373540747E-2</c:v>
                </c:pt>
                <c:pt idx="30">
                  <c:v>-3.2551725328220558E-2</c:v>
                </c:pt>
                <c:pt idx="31">
                  <c:v>-3.0477506508413001E-2</c:v>
                </c:pt>
                <c:pt idx="32">
                  <c:v>-2.7548782013458877E-2</c:v>
                </c:pt>
                <c:pt idx="33">
                  <c:v>-2.6598887211956707E-2</c:v>
                </c:pt>
                <c:pt idx="34">
                  <c:v>-2.0183966038882315E-2</c:v>
                </c:pt>
                <c:pt idx="35">
                  <c:v>-1.7388376932264277E-2</c:v>
                </c:pt>
                <c:pt idx="36">
                  <c:v>-1.5712011969397005E-2</c:v>
                </c:pt>
                <c:pt idx="37">
                  <c:v>-1.5028475395666409E-2</c:v>
                </c:pt>
                <c:pt idx="38">
                  <c:v>-1.501941591527115E-2</c:v>
                </c:pt>
                <c:pt idx="39">
                  <c:v>-1.2184006475558231E-2</c:v>
                </c:pt>
                <c:pt idx="40">
                  <c:v>-1.1705947534826119E-2</c:v>
                </c:pt>
                <c:pt idx="41">
                  <c:v>-1.0636350242902125E-2</c:v>
                </c:pt>
                <c:pt idx="42">
                  <c:v>-1.0041952531271879E-2</c:v>
                </c:pt>
                <c:pt idx="43">
                  <c:v>-6.677624986479674E-3</c:v>
                </c:pt>
                <c:pt idx="44">
                  <c:v>-5.5984293609750877E-3</c:v>
                </c:pt>
                <c:pt idx="45">
                  <c:v>-5.5014607901128281E-3</c:v>
                </c:pt>
                <c:pt idx="46">
                  <c:v>-4.824871721254312E-3</c:v>
                </c:pt>
                <c:pt idx="47">
                  <c:v>-6.9721902177263687E-5</c:v>
                </c:pt>
                <c:pt idx="48">
                  <c:v>1.8800061326866998E-3</c:v>
                </c:pt>
                <c:pt idx="49">
                  <c:v>4.3343574538297035E-3</c:v>
                </c:pt>
                <c:pt idx="50">
                  <c:v>5.7864752168244847E-3</c:v>
                </c:pt>
                <c:pt idx="51">
                  <c:v>8.8449201921307341E-3</c:v>
                </c:pt>
                <c:pt idx="52">
                  <c:v>1.4792227682285173E-2</c:v>
                </c:pt>
                <c:pt idx="53">
                  <c:v>1.6623499282016545E-2</c:v>
                </c:pt>
                <c:pt idx="54">
                  <c:v>1.8136614268968211E-2</c:v>
                </c:pt>
                <c:pt idx="55">
                  <c:v>2.1623158899613696E-2</c:v>
                </c:pt>
                <c:pt idx="56">
                  <c:v>2.6057819343550476E-2</c:v>
                </c:pt>
                <c:pt idx="57">
                  <c:v>2.7983192797253739E-2</c:v>
                </c:pt>
                <c:pt idx="58">
                  <c:v>2.8731797371884086E-2</c:v>
                </c:pt>
                <c:pt idx="59">
                  <c:v>3.2703689971428793E-2</c:v>
                </c:pt>
                <c:pt idx="60">
                  <c:v>3.340171336204905E-2</c:v>
                </c:pt>
                <c:pt idx="61">
                  <c:v>4.0314879886363342E-2</c:v>
                </c:pt>
                <c:pt idx="62">
                  <c:v>4.0929549680730301E-2</c:v>
                </c:pt>
                <c:pt idx="63">
                  <c:v>4.0990890932804738E-2</c:v>
                </c:pt>
                <c:pt idx="64">
                  <c:v>4.774647532299206E-2</c:v>
                </c:pt>
                <c:pt idx="65">
                  <c:v>5.1218624774234611E-2</c:v>
                </c:pt>
                <c:pt idx="66">
                  <c:v>5.3236326765574382E-2</c:v>
                </c:pt>
                <c:pt idx="67">
                  <c:v>5.3335912665143384E-2</c:v>
                </c:pt>
                <c:pt idx="68">
                  <c:v>5.4010016108831133E-2</c:v>
                </c:pt>
                <c:pt idx="69">
                  <c:v>5.515386205311406E-2</c:v>
                </c:pt>
                <c:pt idx="70">
                  <c:v>5.6435955241782527E-2</c:v>
                </c:pt>
                <c:pt idx="71">
                  <c:v>5.8657286547291611E-2</c:v>
                </c:pt>
                <c:pt idx="72">
                  <c:v>5.8820799190731479E-2</c:v>
                </c:pt>
                <c:pt idx="73">
                  <c:v>6.1424445431476585E-2</c:v>
                </c:pt>
                <c:pt idx="74">
                  <c:v>6.3417737729098408E-2</c:v>
                </c:pt>
                <c:pt idx="75">
                  <c:v>6.3841490235455031E-2</c:v>
                </c:pt>
                <c:pt idx="76">
                  <c:v>6.3847724918199081E-2</c:v>
                </c:pt>
                <c:pt idx="77">
                  <c:v>6.4982484952681815E-2</c:v>
                </c:pt>
                <c:pt idx="78">
                  <c:v>6.5287088650757122E-2</c:v>
                </c:pt>
                <c:pt idx="79">
                  <c:v>7.1276206190436217E-2</c:v>
                </c:pt>
                <c:pt idx="80">
                  <c:v>7.1960258905752569E-2</c:v>
                </c:pt>
                <c:pt idx="81">
                  <c:v>7.2175511531634193E-2</c:v>
                </c:pt>
                <c:pt idx="82">
                  <c:v>7.271758456551515E-2</c:v>
                </c:pt>
                <c:pt idx="83">
                  <c:v>7.4328608571419291E-2</c:v>
                </c:pt>
                <c:pt idx="84">
                  <c:v>7.5796547320767529E-2</c:v>
                </c:pt>
                <c:pt idx="85">
                  <c:v>7.6217805671320277E-2</c:v>
                </c:pt>
                <c:pt idx="86">
                  <c:v>7.6394545937863309E-2</c:v>
                </c:pt>
                <c:pt idx="87">
                  <c:v>7.6658042858655712E-2</c:v>
                </c:pt>
                <c:pt idx="88">
                  <c:v>7.7038211735804774E-2</c:v>
                </c:pt>
                <c:pt idx="89">
                  <c:v>8.2164855523110175E-2</c:v>
                </c:pt>
                <c:pt idx="90">
                  <c:v>8.3408636662314212E-2</c:v>
                </c:pt>
                <c:pt idx="91">
                  <c:v>9.0062608438468847E-2</c:v>
                </c:pt>
                <c:pt idx="92">
                  <c:v>9.3606546347149114E-2</c:v>
                </c:pt>
                <c:pt idx="93">
                  <c:v>9.6381904455433418E-2</c:v>
                </c:pt>
                <c:pt idx="94">
                  <c:v>9.6448857646994027E-2</c:v>
                </c:pt>
                <c:pt idx="95">
                  <c:v>9.6807570852604843E-2</c:v>
                </c:pt>
                <c:pt idx="96">
                  <c:v>9.9396432012679559E-2</c:v>
                </c:pt>
                <c:pt idx="97">
                  <c:v>0.10097617693162013</c:v>
                </c:pt>
                <c:pt idx="98">
                  <c:v>0.10120339366408156</c:v>
                </c:pt>
                <c:pt idx="99">
                  <c:v>0.10173073383144178</c:v>
                </c:pt>
                <c:pt idx="100">
                  <c:v>0.10208268703251291</c:v>
                </c:pt>
                <c:pt idx="101">
                  <c:v>0.10266928684233899</c:v>
                </c:pt>
                <c:pt idx="102">
                  <c:v>0.10347116926030082</c:v>
                </c:pt>
                <c:pt idx="103">
                  <c:v>0.10955152668895085</c:v>
                </c:pt>
                <c:pt idx="104">
                  <c:v>0.11052102844883555</c:v>
                </c:pt>
                <c:pt idx="105">
                  <c:v>0.11068444843383785</c:v>
                </c:pt>
                <c:pt idx="106">
                  <c:v>0.11649648078745992</c:v>
                </c:pt>
                <c:pt idx="107">
                  <c:v>0.12035662100756929</c:v>
                </c:pt>
                <c:pt idx="108">
                  <c:v>0.12888365835595628</c:v>
                </c:pt>
                <c:pt idx="109">
                  <c:v>0.13076367184975932</c:v>
                </c:pt>
                <c:pt idx="110">
                  <c:v>0.13332715114813723</c:v>
                </c:pt>
                <c:pt idx="111">
                  <c:v>0.13487279515437092</c:v>
                </c:pt>
                <c:pt idx="112">
                  <c:v>0.14122540808018047</c:v>
                </c:pt>
                <c:pt idx="113">
                  <c:v>0.15049211343854327</c:v>
                </c:pt>
                <c:pt idx="114">
                  <c:v>0.15537380788014626</c:v>
                </c:pt>
                <c:pt idx="115">
                  <c:v>0.16513170557485388</c:v>
                </c:pt>
                <c:pt idx="116">
                  <c:v>0.18863372733728309</c:v>
                </c:pt>
                <c:pt idx="117">
                  <c:v>0.19622670146965263</c:v>
                </c:pt>
                <c:pt idx="118">
                  <c:v>0.2143798734184994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30-4673-9C7D-A07CAC30E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276255"/>
        <c:axId val="706277695"/>
      </c:scatterChart>
      <c:valAx>
        <c:axId val="70627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277695"/>
        <c:crosses val="autoZero"/>
        <c:crossBetween val="midCat"/>
      </c:valAx>
      <c:valAx>
        <c:axId val="706277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2762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Cucinelli'!$E$25:$E$143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Cucinelli'!$F$25:$F$143</c:f>
              <c:numCache>
                <c:formatCode>General</c:formatCode>
                <c:ptCount val="119"/>
                <c:pt idx="0">
                  <c:v>-0.21602787698729617</c:v>
                </c:pt>
                <c:pt idx="1">
                  <c:v>-0.15733110261585859</c:v>
                </c:pt>
                <c:pt idx="2">
                  <c:v>-0.13052620590488911</c:v>
                </c:pt>
                <c:pt idx="3">
                  <c:v>-0.1297899162853712</c:v>
                </c:pt>
                <c:pt idx="4">
                  <c:v>-0.11847048820967009</c:v>
                </c:pt>
                <c:pt idx="5">
                  <c:v>-0.11594197526297782</c:v>
                </c:pt>
                <c:pt idx="6">
                  <c:v>-0.11292981559695069</c:v>
                </c:pt>
                <c:pt idx="7">
                  <c:v>-0.10510940814768768</c:v>
                </c:pt>
                <c:pt idx="8">
                  <c:v>-9.8360710528617779E-2</c:v>
                </c:pt>
                <c:pt idx="9">
                  <c:v>-9.6377317467661747E-2</c:v>
                </c:pt>
                <c:pt idx="10">
                  <c:v>-9.0821227781691702E-2</c:v>
                </c:pt>
                <c:pt idx="11">
                  <c:v>-8.5923286090956341E-2</c:v>
                </c:pt>
                <c:pt idx="12">
                  <c:v>-8.2373816078408921E-2</c:v>
                </c:pt>
                <c:pt idx="13">
                  <c:v>-8.1768073860682591E-2</c:v>
                </c:pt>
                <c:pt idx="14">
                  <c:v>-7.7333293674457543E-2</c:v>
                </c:pt>
                <c:pt idx="15">
                  <c:v>-7.7029818646969436E-2</c:v>
                </c:pt>
                <c:pt idx="16">
                  <c:v>-7.4509711002196485E-2</c:v>
                </c:pt>
                <c:pt idx="17">
                  <c:v>-7.2316388648616364E-2</c:v>
                </c:pt>
                <c:pt idx="18">
                  <c:v>-7.1895503046495279E-2</c:v>
                </c:pt>
                <c:pt idx="19">
                  <c:v>-7.1223686916469534E-2</c:v>
                </c:pt>
                <c:pt idx="20">
                  <c:v>-6.9396235623330221E-2</c:v>
                </c:pt>
                <c:pt idx="21">
                  <c:v>-6.8078689938540091E-2</c:v>
                </c:pt>
                <c:pt idx="22">
                  <c:v>-6.1273028678524404E-2</c:v>
                </c:pt>
                <c:pt idx="23">
                  <c:v>-5.9255706835018691E-2</c:v>
                </c:pt>
                <c:pt idx="24">
                  <c:v>-5.5361445962570109E-2</c:v>
                </c:pt>
                <c:pt idx="25">
                  <c:v>-5.3921540115045866E-2</c:v>
                </c:pt>
                <c:pt idx="26">
                  <c:v>-5.3593203110742317E-2</c:v>
                </c:pt>
                <c:pt idx="27">
                  <c:v>-4.7294646094653579E-2</c:v>
                </c:pt>
                <c:pt idx="28">
                  <c:v>-4.5889008895222891E-2</c:v>
                </c:pt>
                <c:pt idx="29">
                  <c:v>-4.4925267120957395E-2</c:v>
                </c:pt>
                <c:pt idx="30">
                  <c:v>-4.444442328424824E-2</c:v>
                </c:pt>
                <c:pt idx="31">
                  <c:v>-4.3259013085804564E-2</c:v>
                </c:pt>
                <c:pt idx="32">
                  <c:v>-4.2464596488355905E-2</c:v>
                </c:pt>
                <c:pt idx="33">
                  <c:v>-4.0802937061812622E-2</c:v>
                </c:pt>
                <c:pt idx="34">
                  <c:v>-3.4389778273675571E-2</c:v>
                </c:pt>
                <c:pt idx="35">
                  <c:v>-3.3783784435980395E-2</c:v>
                </c:pt>
                <c:pt idx="36">
                  <c:v>-3.2438540867927516E-2</c:v>
                </c:pt>
                <c:pt idx="37">
                  <c:v>-2.3002466730300975E-2</c:v>
                </c:pt>
                <c:pt idx="38">
                  <c:v>-1.8610860409833063E-2</c:v>
                </c:pt>
                <c:pt idx="39">
                  <c:v>-1.7494807753735585E-2</c:v>
                </c:pt>
                <c:pt idx="40">
                  <c:v>-1.7269424232901381E-2</c:v>
                </c:pt>
                <c:pt idx="41">
                  <c:v>-1.6617806475436838E-2</c:v>
                </c:pt>
                <c:pt idx="42">
                  <c:v>-1.5128580796275817E-2</c:v>
                </c:pt>
                <c:pt idx="43">
                  <c:v>-1.3966434766242751E-2</c:v>
                </c:pt>
                <c:pt idx="44">
                  <c:v>-1.3223125178287066E-2</c:v>
                </c:pt>
                <c:pt idx="45">
                  <c:v>-1.1627931078081246E-2</c:v>
                </c:pt>
                <c:pt idx="46">
                  <c:v>-1.0752694841134659E-2</c:v>
                </c:pt>
                <c:pt idx="47">
                  <c:v>-1.0309439432612665E-2</c:v>
                </c:pt>
                <c:pt idx="48">
                  <c:v>-9.0910888621703843E-3</c:v>
                </c:pt>
                <c:pt idx="49">
                  <c:v>-4.9888575924203387E-3</c:v>
                </c:pt>
                <c:pt idx="50">
                  <c:v>-4.0843599204793725E-3</c:v>
                </c:pt>
                <c:pt idx="51">
                  <c:v>-3.7031014254960628E-4</c:v>
                </c:pt>
                <c:pt idx="52">
                  <c:v>6.1687499979890112E-4</c:v>
                </c:pt>
                <c:pt idx="53">
                  <c:v>1.2144637149909855E-3</c:v>
                </c:pt>
                <c:pt idx="54">
                  <c:v>5.0583072448782598E-3</c:v>
                </c:pt>
                <c:pt idx="55">
                  <c:v>6.7001425636360893E-3</c:v>
                </c:pt>
                <c:pt idx="56">
                  <c:v>8.3950494126898475E-3</c:v>
                </c:pt>
                <c:pt idx="57">
                  <c:v>9.1631078635334567E-3</c:v>
                </c:pt>
                <c:pt idx="58">
                  <c:v>9.4864998353044478E-3</c:v>
                </c:pt>
                <c:pt idx="59">
                  <c:v>1.2039693395999642E-2</c:v>
                </c:pt>
                <c:pt idx="60">
                  <c:v>1.3121979654083531E-2</c:v>
                </c:pt>
                <c:pt idx="61">
                  <c:v>1.4457749435462202E-2</c:v>
                </c:pt>
                <c:pt idx="62">
                  <c:v>1.5413074922627857E-2</c:v>
                </c:pt>
                <c:pt idx="63">
                  <c:v>1.5413526160502049E-2</c:v>
                </c:pt>
                <c:pt idx="64">
                  <c:v>1.6128982096182156E-2</c:v>
                </c:pt>
                <c:pt idx="65">
                  <c:v>1.9769394942242009E-2</c:v>
                </c:pt>
                <c:pt idx="66">
                  <c:v>2.1428584290419682E-2</c:v>
                </c:pt>
                <c:pt idx="67">
                  <c:v>2.8515296315963119E-2</c:v>
                </c:pt>
                <c:pt idx="68">
                  <c:v>3.0649020792660103E-2</c:v>
                </c:pt>
                <c:pt idx="69">
                  <c:v>3.2687481634813102E-2</c:v>
                </c:pt>
                <c:pt idx="70">
                  <c:v>3.2797025737997476E-2</c:v>
                </c:pt>
                <c:pt idx="71">
                  <c:v>3.3819465171243214E-2</c:v>
                </c:pt>
                <c:pt idx="72">
                  <c:v>3.9924012260131515E-2</c:v>
                </c:pt>
                <c:pt idx="73">
                  <c:v>4.1269886354013796E-2</c:v>
                </c:pt>
                <c:pt idx="74">
                  <c:v>4.2774669709609477E-2</c:v>
                </c:pt>
                <c:pt idx="75">
                  <c:v>4.3583544193517822E-2</c:v>
                </c:pt>
                <c:pt idx="76">
                  <c:v>4.5245862295081971E-2</c:v>
                </c:pt>
                <c:pt idx="77">
                  <c:v>4.9916790366747246E-2</c:v>
                </c:pt>
                <c:pt idx="78">
                  <c:v>5.5665958174975598E-2</c:v>
                </c:pt>
                <c:pt idx="79">
                  <c:v>5.5791224362217527E-2</c:v>
                </c:pt>
                <c:pt idx="80">
                  <c:v>6.0421717760186157E-2</c:v>
                </c:pt>
                <c:pt idx="81">
                  <c:v>6.1416134802103207E-2</c:v>
                </c:pt>
                <c:pt idx="82">
                  <c:v>6.3668016700249172E-2</c:v>
                </c:pt>
                <c:pt idx="83">
                  <c:v>6.6793855778812222E-2</c:v>
                </c:pt>
                <c:pt idx="84">
                  <c:v>6.9014148691294797E-2</c:v>
                </c:pt>
                <c:pt idx="85">
                  <c:v>7.1300167890639185E-2</c:v>
                </c:pt>
                <c:pt idx="86">
                  <c:v>7.2321345187840488E-2</c:v>
                </c:pt>
                <c:pt idx="87">
                  <c:v>7.2463765644884381E-2</c:v>
                </c:pt>
                <c:pt idx="88">
                  <c:v>7.2669728839221695E-2</c:v>
                </c:pt>
                <c:pt idx="89">
                  <c:v>7.3051972525502523E-2</c:v>
                </c:pt>
                <c:pt idx="90">
                  <c:v>7.4443271097284061E-2</c:v>
                </c:pt>
                <c:pt idx="91">
                  <c:v>7.6096750253575027E-2</c:v>
                </c:pt>
                <c:pt idx="92">
                  <c:v>7.7323994652753289E-2</c:v>
                </c:pt>
                <c:pt idx="93">
                  <c:v>7.7563869277039815E-2</c:v>
                </c:pt>
                <c:pt idx="94">
                  <c:v>8.2352952563438483E-2</c:v>
                </c:pt>
                <c:pt idx="95">
                  <c:v>8.5578357864755747E-2</c:v>
                </c:pt>
                <c:pt idx="96">
                  <c:v>8.5766369632609959E-2</c:v>
                </c:pt>
                <c:pt idx="97">
                  <c:v>8.5867605148843146E-2</c:v>
                </c:pt>
                <c:pt idx="98">
                  <c:v>9.8323175152701919E-2</c:v>
                </c:pt>
                <c:pt idx="99">
                  <c:v>9.8442589283548043E-2</c:v>
                </c:pt>
                <c:pt idx="100">
                  <c:v>9.8569090665529713E-2</c:v>
                </c:pt>
                <c:pt idx="101">
                  <c:v>9.965653206042227E-2</c:v>
                </c:pt>
                <c:pt idx="102">
                  <c:v>0.10222976494065195</c:v>
                </c:pt>
                <c:pt idx="103">
                  <c:v>0.103473259145391</c:v>
                </c:pt>
                <c:pt idx="104">
                  <c:v>0.11739140580657359</c:v>
                </c:pt>
                <c:pt idx="105">
                  <c:v>0.12356492501927802</c:v>
                </c:pt>
                <c:pt idx="106">
                  <c:v>0.12664890737413986</c:v>
                </c:pt>
                <c:pt idx="107">
                  <c:v>0.12826594093840407</c:v>
                </c:pt>
                <c:pt idx="108">
                  <c:v>0.13314749724369476</c:v>
                </c:pt>
                <c:pt idx="109">
                  <c:v>0.14742786000355809</c:v>
                </c:pt>
                <c:pt idx="110">
                  <c:v>0.14976831671760976</c:v>
                </c:pt>
                <c:pt idx="111">
                  <c:v>0.15548282087063567</c:v>
                </c:pt>
                <c:pt idx="112">
                  <c:v>0.15861229989162662</c:v>
                </c:pt>
                <c:pt idx="113">
                  <c:v>0.17182823520136334</c:v>
                </c:pt>
                <c:pt idx="114">
                  <c:v>0.1972934464997258</c:v>
                </c:pt>
                <c:pt idx="115">
                  <c:v>0.21694990353466809</c:v>
                </c:pt>
                <c:pt idx="116">
                  <c:v>0.24094201008533214</c:v>
                </c:pt>
                <c:pt idx="117">
                  <c:v>0.27639754887208617</c:v>
                </c:pt>
                <c:pt idx="118">
                  <c:v>0.3134016053978595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5-45B6-8EF7-2569DC56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376015"/>
        <c:axId val="462373615"/>
      </c:scatterChart>
      <c:valAx>
        <c:axId val="46237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373615"/>
        <c:crosses val="autoZero"/>
        <c:crossBetween val="midCat"/>
      </c:valAx>
      <c:valAx>
        <c:axId val="462373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376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Goldman Sanchs'!$E$25:$E$143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Goldman Sanchs'!$F$25:$F$143</c:f>
              <c:numCache>
                <c:formatCode>General</c:formatCode>
                <c:ptCount val="119"/>
                <c:pt idx="0">
                  <c:v>-0.2253065813600941</c:v>
                </c:pt>
                <c:pt idx="1">
                  <c:v>-0.15554150503993755</c:v>
                </c:pt>
                <c:pt idx="2">
                  <c:v>-0.15388027816737529</c:v>
                </c:pt>
                <c:pt idx="3">
                  <c:v>-0.12042342574203446</c:v>
                </c:pt>
                <c:pt idx="4">
                  <c:v>-0.11378195005176597</c:v>
                </c:pt>
                <c:pt idx="5">
                  <c:v>-0.11244647544441796</c:v>
                </c:pt>
                <c:pt idx="6">
                  <c:v>-0.11050875573124655</c:v>
                </c:pt>
                <c:pt idx="7">
                  <c:v>-0.10492830701212014</c:v>
                </c:pt>
                <c:pt idx="8">
                  <c:v>-0.10358988920935411</c:v>
                </c:pt>
                <c:pt idx="9">
                  <c:v>-8.5699848190943173E-2</c:v>
                </c:pt>
                <c:pt idx="10">
                  <c:v>-8.1359856888004928E-2</c:v>
                </c:pt>
                <c:pt idx="11">
                  <c:v>-8.0314035889651955E-2</c:v>
                </c:pt>
                <c:pt idx="12">
                  <c:v>-7.828721902761554E-2</c:v>
                </c:pt>
                <c:pt idx="13">
                  <c:v>-7.5508784481222016E-2</c:v>
                </c:pt>
                <c:pt idx="14">
                  <c:v>-7.4461431449608484E-2</c:v>
                </c:pt>
                <c:pt idx="15">
                  <c:v>-7.4128020718508589E-2</c:v>
                </c:pt>
                <c:pt idx="16">
                  <c:v>-7.3683728304902399E-2</c:v>
                </c:pt>
                <c:pt idx="17">
                  <c:v>-7.2547999322725015E-2</c:v>
                </c:pt>
                <c:pt idx="18">
                  <c:v>-7.1513239565621764E-2</c:v>
                </c:pt>
                <c:pt idx="19">
                  <c:v>-6.9785308373798802E-2</c:v>
                </c:pt>
                <c:pt idx="20">
                  <c:v>-6.9098057047227865E-2</c:v>
                </c:pt>
                <c:pt idx="21">
                  <c:v>-6.7960523986948781E-2</c:v>
                </c:pt>
                <c:pt idx="22">
                  <c:v>-6.452810650669516E-2</c:v>
                </c:pt>
                <c:pt idx="23">
                  <c:v>-6.3869983909433811E-2</c:v>
                </c:pt>
                <c:pt idx="24">
                  <c:v>-5.9362003960082413E-2</c:v>
                </c:pt>
                <c:pt idx="25">
                  <c:v>-5.6032351132499984E-2</c:v>
                </c:pt>
                <c:pt idx="26">
                  <c:v>-5.3939483027399759E-2</c:v>
                </c:pt>
                <c:pt idx="27">
                  <c:v>-5.3720384247220837E-2</c:v>
                </c:pt>
                <c:pt idx="28">
                  <c:v>-5.2238483633774847E-2</c:v>
                </c:pt>
                <c:pt idx="29">
                  <c:v>-4.827309216773204E-2</c:v>
                </c:pt>
                <c:pt idx="30">
                  <c:v>-4.460842891191736E-2</c:v>
                </c:pt>
                <c:pt idx="31">
                  <c:v>-4.2305130163030807E-2</c:v>
                </c:pt>
                <c:pt idx="32">
                  <c:v>-3.9413690120024686E-2</c:v>
                </c:pt>
                <c:pt idx="33">
                  <c:v>-3.8708604724129875E-2</c:v>
                </c:pt>
                <c:pt idx="34">
                  <c:v>-3.7752248397262711E-2</c:v>
                </c:pt>
                <c:pt idx="35">
                  <c:v>-3.2787375877455747E-2</c:v>
                </c:pt>
                <c:pt idx="36">
                  <c:v>-2.8213336959326013E-2</c:v>
                </c:pt>
                <c:pt idx="37">
                  <c:v>-2.5770513800624964E-2</c:v>
                </c:pt>
                <c:pt idx="38">
                  <c:v>-2.4595575471624657E-2</c:v>
                </c:pt>
                <c:pt idx="39">
                  <c:v>-2.0054898542591675E-2</c:v>
                </c:pt>
                <c:pt idx="40">
                  <c:v>-2.0003412955758245E-2</c:v>
                </c:pt>
                <c:pt idx="41">
                  <c:v>-1.851499231339598E-2</c:v>
                </c:pt>
                <c:pt idx="42">
                  <c:v>-1.7817356845386292E-2</c:v>
                </c:pt>
                <c:pt idx="43">
                  <c:v>-1.3097361244898624E-2</c:v>
                </c:pt>
                <c:pt idx="44">
                  <c:v>-1.2297658545270882E-2</c:v>
                </c:pt>
                <c:pt idx="45">
                  <c:v>-1.2251969122329228E-2</c:v>
                </c:pt>
                <c:pt idx="46">
                  <c:v>-8.3157471604731401E-3</c:v>
                </c:pt>
                <c:pt idx="47">
                  <c:v>-7.0563666209809946E-3</c:v>
                </c:pt>
                <c:pt idx="48">
                  <c:v>-6.615952318374755E-3</c:v>
                </c:pt>
                <c:pt idx="49">
                  <c:v>-6.4800298279948819E-3</c:v>
                </c:pt>
                <c:pt idx="50">
                  <c:v>-2.1596122890929783E-3</c:v>
                </c:pt>
                <c:pt idx="51">
                  <c:v>-6.2803567850146341E-5</c:v>
                </c:pt>
                <c:pt idx="52">
                  <c:v>1.6004146765135701E-3</c:v>
                </c:pt>
                <c:pt idx="53">
                  <c:v>1.7205859607281914E-3</c:v>
                </c:pt>
                <c:pt idx="54">
                  <c:v>4.0946447290150494E-3</c:v>
                </c:pt>
                <c:pt idx="55">
                  <c:v>5.0391571640918294E-3</c:v>
                </c:pt>
                <c:pt idx="56">
                  <c:v>1.2037839805620641E-2</c:v>
                </c:pt>
                <c:pt idx="57">
                  <c:v>1.3440160426737201E-2</c:v>
                </c:pt>
                <c:pt idx="58">
                  <c:v>1.419694227855091E-2</c:v>
                </c:pt>
                <c:pt idx="59">
                  <c:v>1.5457211791626744E-2</c:v>
                </c:pt>
                <c:pt idx="60">
                  <c:v>1.5767839191471442E-2</c:v>
                </c:pt>
                <c:pt idx="61">
                  <c:v>1.6749717904632061E-2</c:v>
                </c:pt>
                <c:pt idx="62">
                  <c:v>2.1280139322802132E-2</c:v>
                </c:pt>
                <c:pt idx="63">
                  <c:v>2.2302897757657494E-2</c:v>
                </c:pt>
                <c:pt idx="64">
                  <c:v>2.2659862064143131E-2</c:v>
                </c:pt>
                <c:pt idx="65">
                  <c:v>2.3538247173659831E-2</c:v>
                </c:pt>
                <c:pt idx="66">
                  <c:v>2.363253123508751E-2</c:v>
                </c:pt>
                <c:pt idx="67">
                  <c:v>2.8079675655257371E-2</c:v>
                </c:pt>
                <c:pt idx="68">
                  <c:v>2.9677349158450966E-2</c:v>
                </c:pt>
                <c:pt idx="69">
                  <c:v>3.1984239744597326E-2</c:v>
                </c:pt>
                <c:pt idx="70">
                  <c:v>3.2051224103542386E-2</c:v>
                </c:pt>
                <c:pt idx="71">
                  <c:v>3.2429207078690528E-2</c:v>
                </c:pt>
                <c:pt idx="72">
                  <c:v>3.3893791488721146E-2</c:v>
                </c:pt>
                <c:pt idx="73">
                  <c:v>3.401036277935806E-2</c:v>
                </c:pt>
                <c:pt idx="74">
                  <c:v>3.490586202746386E-2</c:v>
                </c:pt>
                <c:pt idx="75">
                  <c:v>3.4972748257298854E-2</c:v>
                </c:pt>
                <c:pt idx="76">
                  <c:v>3.6096416573399737E-2</c:v>
                </c:pt>
                <c:pt idx="77">
                  <c:v>3.7351128845241166E-2</c:v>
                </c:pt>
                <c:pt idx="78">
                  <c:v>3.7364962671519987E-2</c:v>
                </c:pt>
                <c:pt idx="79">
                  <c:v>4.3370830645651344E-2</c:v>
                </c:pt>
                <c:pt idx="80">
                  <c:v>4.4618994828867414E-2</c:v>
                </c:pt>
                <c:pt idx="81">
                  <c:v>4.4953633677038418E-2</c:v>
                </c:pt>
                <c:pt idx="82">
                  <c:v>4.5420339436405957E-2</c:v>
                </c:pt>
                <c:pt idx="83">
                  <c:v>4.9740868471616989E-2</c:v>
                </c:pt>
                <c:pt idx="84">
                  <c:v>5.0230226337755673E-2</c:v>
                </c:pt>
                <c:pt idx="85">
                  <c:v>5.1319071855528871E-2</c:v>
                </c:pt>
                <c:pt idx="86">
                  <c:v>5.1538771968860725E-2</c:v>
                </c:pt>
                <c:pt idx="87">
                  <c:v>5.2693285264377894E-2</c:v>
                </c:pt>
                <c:pt idx="88">
                  <c:v>5.3900976429994189E-2</c:v>
                </c:pt>
                <c:pt idx="89">
                  <c:v>5.4383904586541187E-2</c:v>
                </c:pt>
                <c:pt idx="90">
                  <c:v>6.3735009977737178E-2</c:v>
                </c:pt>
                <c:pt idx="91">
                  <c:v>6.5321128648738291E-2</c:v>
                </c:pt>
                <c:pt idx="92">
                  <c:v>6.7061023155815427E-2</c:v>
                </c:pt>
                <c:pt idx="93">
                  <c:v>6.764244820578813E-2</c:v>
                </c:pt>
                <c:pt idx="94">
                  <c:v>6.8852218126581988E-2</c:v>
                </c:pt>
                <c:pt idx="95">
                  <c:v>6.9782050496173031E-2</c:v>
                </c:pt>
                <c:pt idx="96">
                  <c:v>6.9920441070874015E-2</c:v>
                </c:pt>
                <c:pt idx="97">
                  <c:v>7.12571679209235E-2</c:v>
                </c:pt>
                <c:pt idx="98">
                  <c:v>7.2555816212452398E-2</c:v>
                </c:pt>
                <c:pt idx="99">
                  <c:v>7.590417999699571E-2</c:v>
                </c:pt>
                <c:pt idx="100">
                  <c:v>7.6438245341429109E-2</c:v>
                </c:pt>
                <c:pt idx="101">
                  <c:v>7.9074236261402933E-2</c:v>
                </c:pt>
                <c:pt idx="102">
                  <c:v>8.1719879541820153E-2</c:v>
                </c:pt>
                <c:pt idx="103">
                  <c:v>8.449609789510755E-2</c:v>
                </c:pt>
                <c:pt idx="104">
                  <c:v>9.3431826696830547E-2</c:v>
                </c:pt>
                <c:pt idx="105">
                  <c:v>9.5317608903665127E-2</c:v>
                </c:pt>
                <c:pt idx="106">
                  <c:v>0.10080568813686776</c:v>
                </c:pt>
                <c:pt idx="107">
                  <c:v>0.1030462414378214</c:v>
                </c:pt>
                <c:pt idx="108">
                  <c:v>0.10522712867518609</c:v>
                </c:pt>
                <c:pt idx="109">
                  <c:v>0.12086728187258507</c:v>
                </c:pt>
                <c:pt idx="110">
                  <c:v>0.12244968245877474</c:v>
                </c:pt>
                <c:pt idx="111">
                  <c:v>0.12621048476513674</c:v>
                </c:pt>
                <c:pt idx="112">
                  <c:v>0.14368086654761944</c:v>
                </c:pt>
                <c:pt idx="113">
                  <c:v>0.17560157081362526</c:v>
                </c:pt>
                <c:pt idx="114">
                  <c:v>0.1781536966580686</c:v>
                </c:pt>
                <c:pt idx="115">
                  <c:v>0.18533393626750461</c:v>
                </c:pt>
                <c:pt idx="116">
                  <c:v>0.18649339458978484</c:v>
                </c:pt>
                <c:pt idx="117">
                  <c:v>0.21974194868796598</c:v>
                </c:pt>
                <c:pt idx="118">
                  <c:v>0.23030757868104912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57-454B-9915-5D8238402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174559"/>
        <c:axId val="490176479"/>
      </c:scatterChart>
      <c:valAx>
        <c:axId val="490174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0176479"/>
        <c:crosses val="autoZero"/>
        <c:crossBetween val="midCat"/>
      </c:valAx>
      <c:valAx>
        <c:axId val="49017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01745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JP Morgan'!$E$25:$E$143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JP Morgan'!$F$25:$F$143</c:f>
              <c:numCache>
                <c:formatCode>General</c:formatCode>
                <c:ptCount val="119"/>
                <c:pt idx="0">
                  <c:v>-0.22461451514930963</c:v>
                </c:pt>
                <c:pt idx="1">
                  <c:v>-0.14837779401256251</c:v>
                </c:pt>
                <c:pt idx="2">
                  <c:v>-0.13103237624234915</c:v>
                </c:pt>
                <c:pt idx="3">
                  <c:v>-0.12441326649748063</c:v>
                </c:pt>
                <c:pt idx="4">
                  <c:v>-0.12204326779504253</c:v>
                </c:pt>
                <c:pt idx="5">
                  <c:v>-0.11713946168729764</c:v>
                </c:pt>
                <c:pt idx="6">
                  <c:v>-9.8894470492071535E-2</c:v>
                </c:pt>
                <c:pt idx="7">
                  <c:v>-9.0966181310456778E-2</c:v>
                </c:pt>
                <c:pt idx="8">
                  <c:v>-8.6694737745407369E-2</c:v>
                </c:pt>
                <c:pt idx="9">
                  <c:v>-8.1157127946161881E-2</c:v>
                </c:pt>
                <c:pt idx="10">
                  <c:v>-7.9958687021016286E-2</c:v>
                </c:pt>
                <c:pt idx="11">
                  <c:v>-7.7911524211080621E-2</c:v>
                </c:pt>
                <c:pt idx="12">
                  <c:v>-6.1572457362051282E-2</c:v>
                </c:pt>
                <c:pt idx="13">
                  <c:v>-5.9467508653489529E-2</c:v>
                </c:pt>
                <c:pt idx="14">
                  <c:v>-5.8529910117174559E-2</c:v>
                </c:pt>
                <c:pt idx="15">
                  <c:v>-5.3351317777542422E-2</c:v>
                </c:pt>
                <c:pt idx="16">
                  <c:v>-5.2971425899450461E-2</c:v>
                </c:pt>
                <c:pt idx="17">
                  <c:v>-5.0502294289401624E-2</c:v>
                </c:pt>
                <c:pt idx="18">
                  <c:v>-5.03217812186856E-2</c:v>
                </c:pt>
                <c:pt idx="19">
                  <c:v>-4.8829959396399183E-2</c:v>
                </c:pt>
                <c:pt idx="20">
                  <c:v>-4.7954700824845251E-2</c:v>
                </c:pt>
                <c:pt idx="21">
                  <c:v>-4.7878793846068246E-2</c:v>
                </c:pt>
                <c:pt idx="22">
                  <c:v>-4.7434095483738038E-2</c:v>
                </c:pt>
                <c:pt idx="23">
                  <c:v>-4.6226106158724016E-2</c:v>
                </c:pt>
                <c:pt idx="24">
                  <c:v>-4.0040549050855245E-2</c:v>
                </c:pt>
                <c:pt idx="25">
                  <c:v>-3.9125798895576019E-2</c:v>
                </c:pt>
                <c:pt idx="26">
                  <c:v>-3.8645962838078807E-2</c:v>
                </c:pt>
                <c:pt idx="27">
                  <c:v>-3.3853508019027673E-2</c:v>
                </c:pt>
                <c:pt idx="28">
                  <c:v>-3.3398278387489246E-2</c:v>
                </c:pt>
                <c:pt idx="29">
                  <c:v>-3.2973180829622202E-2</c:v>
                </c:pt>
                <c:pt idx="30">
                  <c:v>-3.0677948334659668E-2</c:v>
                </c:pt>
                <c:pt idx="31">
                  <c:v>-2.9992065955119312E-2</c:v>
                </c:pt>
                <c:pt idx="32">
                  <c:v>-2.9526554038044703E-2</c:v>
                </c:pt>
                <c:pt idx="33">
                  <c:v>-2.6259286685865389E-2</c:v>
                </c:pt>
                <c:pt idx="34">
                  <c:v>-2.417379528691609E-2</c:v>
                </c:pt>
                <c:pt idx="35">
                  <c:v>-1.9237584318667771E-2</c:v>
                </c:pt>
                <c:pt idx="36">
                  <c:v>-1.5185855828663216E-2</c:v>
                </c:pt>
                <c:pt idx="37">
                  <c:v>-1.3481383018361751E-2</c:v>
                </c:pt>
                <c:pt idx="38">
                  <c:v>-1.1422760970640372E-2</c:v>
                </c:pt>
                <c:pt idx="39">
                  <c:v>-1.1282969196115614E-2</c:v>
                </c:pt>
                <c:pt idx="40">
                  <c:v>-1.0821062014037059E-2</c:v>
                </c:pt>
                <c:pt idx="41">
                  <c:v>-9.7479324082611774E-3</c:v>
                </c:pt>
                <c:pt idx="42">
                  <c:v>-9.5625588496236185E-3</c:v>
                </c:pt>
                <c:pt idx="43">
                  <c:v>-5.4089839599824538E-3</c:v>
                </c:pt>
                <c:pt idx="44">
                  <c:v>-4.4672081498121326E-3</c:v>
                </c:pt>
                <c:pt idx="45">
                  <c:v>-3.0219504826151499E-3</c:v>
                </c:pt>
                <c:pt idx="46">
                  <c:v>-2.9017883167801414E-3</c:v>
                </c:pt>
                <c:pt idx="47">
                  <c:v>-1.0674408361559741E-3</c:v>
                </c:pt>
                <c:pt idx="48">
                  <c:v>8.6775827125651003E-4</c:v>
                </c:pt>
                <c:pt idx="49">
                  <c:v>1.4107336956177246E-3</c:v>
                </c:pt>
                <c:pt idx="50">
                  <c:v>2.1981885121330732E-3</c:v>
                </c:pt>
                <c:pt idx="51">
                  <c:v>3.7319585517961358E-3</c:v>
                </c:pt>
                <c:pt idx="52">
                  <c:v>3.9841753037982196E-3</c:v>
                </c:pt>
                <c:pt idx="53">
                  <c:v>4.3765779069321808E-3</c:v>
                </c:pt>
                <c:pt idx="54">
                  <c:v>1.03790032424932E-2</c:v>
                </c:pt>
                <c:pt idx="55">
                  <c:v>1.1363918336169022E-2</c:v>
                </c:pt>
                <c:pt idx="56">
                  <c:v>1.2591536079800448E-2</c:v>
                </c:pt>
                <c:pt idx="57">
                  <c:v>1.3288485388360088E-2</c:v>
                </c:pt>
                <c:pt idx="58">
                  <c:v>1.6497237373806015E-2</c:v>
                </c:pt>
                <c:pt idx="59">
                  <c:v>1.838584875648629E-2</c:v>
                </c:pt>
                <c:pt idx="60">
                  <c:v>2.2019947761059568E-2</c:v>
                </c:pt>
                <c:pt idx="61">
                  <c:v>2.2956362181522205E-2</c:v>
                </c:pt>
                <c:pt idx="62">
                  <c:v>2.3153791026426278E-2</c:v>
                </c:pt>
                <c:pt idx="63">
                  <c:v>2.3382258485098336E-2</c:v>
                </c:pt>
                <c:pt idx="64">
                  <c:v>2.4420467578347507E-2</c:v>
                </c:pt>
                <c:pt idx="65">
                  <c:v>2.6745736152146659E-2</c:v>
                </c:pt>
                <c:pt idx="66">
                  <c:v>2.7046861461129203E-2</c:v>
                </c:pt>
                <c:pt idx="67">
                  <c:v>2.7429130696814241E-2</c:v>
                </c:pt>
                <c:pt idx="68">
                  <c:v>2.9449736824311658E-2</c:v>
                </c:pt>
                <c:pt idx="69">
                  <c:v>3.0100262975799635E-2</c:v>
                </c:pt>
                <c:pt idx="70">
                  <c:v>3.1786769281925586E-2</c:v>
                </c:pt>
                <c:pt idx="71">
                  <c:v>3.3085836330368885E-2</c:v>
                </c:pt>
                <c:pt idx="72">
                  <c:v>3.4381930079624236E-2</c:v>
                </c:pt>
                <c:pt idx="73">
                  <c:v>3.6890537644502862E-2</c:v>
                </c:pt>
                <c:pt idx="74">
                  <c:v>3.7567175743979608E-2</c:v>
                </c:pt>
                <c:pt idx="75">
                  <c:v>3.7876562334502296E-2</c:v>
                </c:pt>
                <c:pt idx="76">
                  <c:v>3.8071636564934862E-2</c:v>
                </c:pt>
                <c:pt idx="77">
                  <c:v>4.0096119776677097E-2</c:v>
                </c:pt>
                <c:pt idx="78">
                  <c:v>4.0226092307993538E-2</c:v>
                </c:pt>
                <c:pt idx="79">
                  <c:v>4.0399149292447076E-2</c:v>
                </c:pt>
                <c:pt idx="80">
                  <c:v>4.369868466385949E-2</c:v>
                </c:pt>
                <c:pt idx="81">
                  <c:v>4.4238842846353009E-2</c:v>
                </c:pt>
                <c:pt idx="82">
                  <c:v>4.4935285044563962E-2</c:v>
                </c:pt>
                <c:pt idx="83">
                  <c:v>4.5309309427993764E-2</c:v>
                </c:pt>
                <c:pt idx="84">
                  <c:v>4.6747194315837959E-2</c:v>
                </c:pt>
                <c:pt idx="85">
                  <c:v>4.6836935497090358E-2</c:v>
                </c:pt>
                <c:pt idx="86">
                  <c:v>5.0830919669052281E-2</c:v>
                </c:pt>
                <c:pt idx="87">
                  <c:v>5.1865183139048462E-2</c:v>
                </c:pt>
                <c:pt idx="88">
                  <c:v>5.3397654688821489E-2</c:v>
                </c:pt>
                <c:pt idx="89">
                  <c:v>5.3796865573676779E-2</c:v>
                </c:pt>
                <c:pt idx="90">
                  <c:v>5.5115088055540308E-2</c:v>
                </c:pt>
                <c:pt idx="91">
                  <c:v>5.5692101777052812E-2</c:v>
                </c:pt>
                <c:pt idx="92">
                  <c:v>5.7984215959903961E-2</c:v>
                </c:pt>
                <c:pt idx="93">
                  <c:v>5.9900723284588155E-2</c:v>
                </c:pt>
                <c:pt idx="94">
                  <c:v>6.0233653807774477E-2</c:v>
                </c:pt>
                <c:pt idx="95">
                  <c:v>6.1432453416149072E-2</c:v>
                </c:pt>
                <c:pt idx="96">
                  <c:v>6.3204514307142648E-2</c:v>
                </c:pt>
                <c:pt idx="97">
                  <c:v>6.3396230641844839E-2</c:v>
                </c:pt>
                <c:pt idx="98">
                  <c:v>6.3645447403870917E-2</c:v>
                </c:pt>
                <c:pt idx="99">
                  <c:v>6.4615123483850387E-2</c:v>
                </c:pt>
                <c:pt idx="100">
                  <c:v>6.7206990713916337E-2</c:v>
                </c:pt>
                <c:pt idx="101">
                  <c:v>6.8461685718973916E-2</c:v>
                </c:pt>
                <c:pt idx="102">
                  <c:v>7.1272506947742814E-2</c:v>
                </c:pt>
                <c:pt idx="103">
                  <c:v>7.4100232691905674E-2</c:v>
                </c:pt>
                <c:pt idx="104">
                  <c:v>7.6337926960113836E-2</c:v>
                </c:pt>
                <c:pt idx="105">
                  <c:v>7.6703757368897799E-2</c:v>
                </c:pt>
                <c:pt idx="106">
                  <c:v>7.7960567918531481E-2</c:v>
                </c:pt>
                <c:pt idx="107">
                  <c:v>8.1634444206070106E-2</c:v>
                </c:pt>
                <c:pt idx="108">
                  <c:v>0.10316701869934392</c:v>
                </c:pt>
                <c:pt idx="109">
                  <c:v>0.10753319983020806</c:v>
                </c:pt>
                <c:pt idx="110">
                  <c:v>0.11259898004893507</c:v>
                </c:pt>
                <c:pt idx="111">
                  <c:v>0.11603676998206156</c:v>
                </c:pt>
                <c:pt idx="112">
                  <c:v>0.11838487687554299</c:v>
                </c:pt>
                <c:pt idx="113">
                  <c:v>0.13413401389734086</c:v>
                </c:pt>
                <c:pt idx="114">
                  <c:v>0.14639916937961936</c:v>
                </c:pt>
                <c:pt idx="115">
                  <c:v>0.1520159157992885</c:v>
                </c:pt>
                <c:pt idx="116">
                  <c:v>0.16593671299196147</c:v>
                </c:pt>
                <c:pt idx="117">
                  <c:v>0.20459326850602386</c:v>
                </c:pt>
                <c:pt idx="118">
                  <c:v>0.21352343410623101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A1-4107-999E-0939E61CC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279135"/>
        <c:axId val="706275775"/>
      </c:scatterChart>
      <c:valAx>
        <c:axId val="706279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275775"/>
        <c:crosses val="autoZero"/>
        <c:crossBetween val="midCat"/>
      </c:valAx>
      <c:valAx>
        <c:axId val="706275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2791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Microsoft'!$E$25:$E$143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Microsoft'!$F$25:$F$143</c:f>
              <c:numCache>
                <c:formatCode>General</c:formatCode>
                <c:ptCount val="119"/>
                <c:pt idx="0">
                  <c:v>-0.13024752310106888</c:v>
                </c:pt>
                <c:pt idx="1">
                  <c:v>-0.10737611124990963</c:v>
                </c:pt>
                <c:pt idx="2">
                  <c:v>-9.9867118116838627E-2</c:v>
                </c:pt>
                <c:pt idx="3">
                  <c:v>-9.7048953436128807E-2</c:v>
                </c:pt>
                <c:pt idx="4">
                  <c:v>-8.0090244568752134E-2</c:v>
                </c:pt>
                <c:pt idx="5">
                  <c:v>-7.8170184471552717E-2</c:v>
                </c:pt>
                <c:pt idx="6">
                  <c:v>-7.6420409129920777E-2</c:v>
                </c:pt>
                <c:pt idx="7">
                  <c:v>-7.5344848528569985E-2</c:v>
                </c:pt>
                <c:pt idx="8">
                  <c:v>-6.8640100306277763E-2</c:v>
                </c:pt>
                <c:pt idx="9">
                  <c:v>-6.8094356685991869E-2</c:v>
                </c:pt>
                <c:pt idx="10">
                  <c:v>-6.6149245680650823E-2</c:v>
                </c:pt>
                <c:pt idx="11">
                  <c:v>-6.6101437573638608E-2</c:v>
                </c:pt>
                <c:pt idx="12">
                  <c:v>-6.5142450968261448E-2</c:v>
                </c:pt>
                <c:pt idx="13">
                  <c:v>-6.4331107426577286E-2</c:v>
                </c:pt>
                <c:pt idx="14">
                  <c:v>-5.7396476024927374E-2</c:v>
                </c:pt>
                <c:pt idx="15">
                  <c:v>-5.3120249857407507E-2</c:v>
                </c:pt>
                <c:pt idx="16">
                  <c:v>-5.2986170772276825E-2</c:v>
                </c:pt>
                <c:pt idx="17">
                  <c:v>-5.1708846943439843E-2</c:v>
                </c:pt>
                <c:pt idx="18">
                  <c:v>-4.8287533990259673E-2</c:v>
                </c:pt>
                <c:pt idx="19">
                  <c:v>-3.9198847845605768E-2</c:v>
                </c:pt>
                <c:pt idx="20">
                  <c:v>-3.7369755525266148E-2</c:v>
                </c:pt>
                <c:pt idx="21">
                  <c:v>-3.6595454783771471E-2</c:v>
                </c:pt>
                <c:pt idx="22">
                  <c:v>-2.7775684196983241E-2</c:v>
                </c:pt>
                <c:pt idx="23">
                  <c:v>-2.3882552525891519E-2</c:v>
                </c:pt>
                <c:pt idx="24">
                  <c:v>-2.2318118028851926E-2</c:v>
                </c:pt>
                <c:pt idx="25">
                  <c:v>-2.2088739249364275E-2</c:v>
                </c:pt>
                <c:pt idx="26">
                  <c:v>-2.035883326328301E-2</c:v>
                </c:pt>
                <c:pt idx="27">
                  <c:v>-1.4393883953782636E-2</c:v>
                </c:pt>
                <c:pt idx="28">
                  <c:v>-1.3051181350055221E-2</c:v>
                </c:pt>
                <c:pt idx="29">
                  <c:v>-1.1441469130201746E-2</c:v>
                </c:pt>
                <c:pt idx="30">
                  <c:v>-1.0363571677980112E-2</c:v>
                </c:pt>
                <c:pt idx="31">
                  <c:v>-9.9136522229225556E-3</c:v>
                </c:pt>
                <c:pt idx="32">
                  <c:v>-7.4921022889532689E-3</c:v>
                </c:pt>
                <c:pt idx="33">
                  <c:v>-7.3724608418513091E-3</c:v>
                </c:pt>
                <c:pt idx="34">
                  <c:v>-7.0297782932200563E-3</c:v>
                </c:pt>
                <c:pt idx="35">
                  <c:v>-3.3754229298239842E-3</c:v>
                </c:pt>
                <c:pt idx="36">
                  <c:v>-3.3061239999508428E-3</c:v>
                </c:pt>
                <c:pt idx="37">
                  <c:v>-3.106031717080866E-3</c:v>
                </c:pt>
                <c:pt idx="38">
                  <c:v>1.5629771692695356E-3</c:v>
                </c:pt>
                <c:pt idx="39">
                  <c:v>1.8106297729788617E-3</c:v>
                </c:pt>
                <c:pt idx="40">
                  <c:v>1.997251366008917E-3</c:v>
                </c:pt>
                <c:pt idx="41">
                  <c:v>3.4283505073513486E-3</c:v>
                </c:pt>
                <c:pt idx="42">
                  <c:v>5.6743585818744436E-3</c:v>
                </c:pt>
                <c:pt idx="43">
                  <c:v>6.4968907810372617E-3</c:v>
                </c:pt>
                <c:pt idx="44">
                  <c:v>7.370627054788261E-3</c:v>
                </c:pt>
                <c:pt idx="45">
                  <c:v>8.6842962835388601E-3</c:v>
                </c:pt>
                <c:pt idx="46">
                  <c:v>1.1493642288407104E-2</c:v>
                </c:pt>
                <c:pt idx="47">
                  <c:v>1.1668181157399014E-2</c:v>
                </c:pt>
                <c:pt idx="48">
                  <c:v>1.1845116015858682E-2</c:v>
                </c:pt>
                <c:pt idx="49">
                  <c:v>1.1902022050172115E-2</c:v>
                </c:pt>
                <c:pt idx="50">
                  <c:v>1.2420932470120343E-2</c:v>
                </c:pt>
                <c:pt idx="51">
                  <c:v>1.2726860479200261E-2</c:v>
                </c:pt>
                <c:pt idx="52">
                  <c:v>1.336605656914726E-2</c:v>
                </c:pt>
                <c:pt idx="53">
                  <c:v>1.3761629657486871E-2</c:v>
                </c:pt>
                <c:pt idx="54">
                  <c:v>1.6925076543682412E-2</c:v>
                </c:pt>
                <c:pt idx="55">
                  <c:v>1.7243622969748653E-2</c:v>
                </c:pt>
                <c:pt idx="56">
                  <c:v>1.8317255596647198E-2</c:v>
                </c:pt>
                <c:pt idx="57">
                  <c:v>1.9193890078210141E-2</c:v>
                </c:pt>
                <c:pt idx="58">
                  <c:v>2.0157917040942722E-2</c:v>
                </c:pt>
                <c:pt idx="59">
                  <c:v>2.138036126844561E-2</c:v>
                </c:pt>
                <c:pt idx="60">
                  <c:v>2.2078969967771481E-2</c:v>
                </c:pt>
                <c:pt idx="61">
                  <c:v>2.2543428464297327E-2</c:v>
                </c:pt>
                <c:pt idx="62">
                  <c:v>2.3710310253544142E-2</c:v>
                </c:pt>
                <c:pt idx="63">
                  <c:v>2.4652096448649977E-2</c:v>
                </c:pt>
                <c:pt idx="64">
                  <c:v>2.5749643439736028E-2</c:v>
                </c:pt>
                <c:pt idx="65">
                  <c:v>2.6844389108080378E-2</c:v>
                </c:pt>
                <c:pt idx="66">
                  <c:v>2.7671594709429582E-2</c:v>
                </c:pt>
                <c:pt idx="67">
                  <c:v>2.8157698615629768E-2</c:v>
                </c:pt>
                <c:pt idx="68">
                  <c:v>2.8473610972756965E-2</c:v>
                </c:pt>
                <c:pt idx="69">
                  <c:v>3.121616767552211E-2</c:v>
                </c:pt>
                <c:pt idx="70">
                  <c:v>3.2484893038885194E-2</c:v>
                </c:pt>
                <c:pt idx="71">
                  <c:v>3.3316631192121339E-2</c:v>
                </c:pt>
                <c:pt idx="72">
                  <c:v>3.3995526744489996E-2</c:v>
                </c:pt>
                <c:pt idx="73">
                  <c:v>3.501188765588524E-2</c:v>
                </c:pt>
                <c:pt idx="74">
                  <c:v>3.5624712238000816E-2</c:v>
                </c:pt>
                <c:pt idx="75">
                  <c:v>3.8164328812539561E-2</c:v>
                </c:pt>
                <c:pt idx="76">
                  <c:v>3.8198813733057745E-2</c:v>
                </c:pt>
                <c:pt idx="77">
                  <c:v>3.9477660623881659E-2</c:v>
                </c:pt>
                <c:pt idx="78">
                  <c:v>4.0277621849179719E-2</c:v>
                </c:pt>
                <c:pt idx="79">
                  <c:v>4.0392839910293091E-2</c:v>
                </c:pt>
                <c:pt idx="80">
                  <c:v>4.1725991830898243E-2</c:v>
                </c:pt>
                <c:pt idx="81">
                  <c:v>4.2891839619207714E-2</c:v>
                </c:pt>
                <c:pt idx="82">
                  <c:v>4.5293854861279535E-2</c:v>
                </c:pt>
                <c:pt idx="83">
                  <c:v>4.8995119396876459E-2</c:v>
                </c:pt>
                <c:pt idx="84">
                  <c:v>5.1716400437786858E-2</c:v>
                </c:pt>
                <c:pt idx="85">
                  <c:v>5.2595088030726739E-2</c:v>
                </c:pt>
                <c:pt idx="86">
                  <c:v>5.4692737653334066E-2</c:v>
                </c:pt>
                <c:pt idx="87">
                  <c:v>5.5869623817723778E-2</c:v>
                </c:pt>
                <c:pt idx="88">
                  <c:v>5.6886408722015343E-2</c:v>
                </c:pt>
                <c:pt idx="89">
                  <c:v>5.7249764245720529E-2</c:v>
                </c:pt>
                <c:pt idx="90">
                  <c:v>5.7292347170500489E-2</c:v>
                </c:pt>
                <c:pt idx="91">
                  <c:v>5.7757828124276947E-2</c:v>
                </c:pt>
                <c:pt idx="92">
                  <c:v>5.8917612939511553E-2</c:v>
                </c:pt>
                <c:pt idx="93">
                  <c:v>5.9562585161343003E-2</c:v>
                </c:pt>
                <c:pt idx="94">
                  <c:v>6.2763639906156882E-2</c:v>
                </c:pt>
                <c:pt idx="95">
                  <c:v>6.4002431221908379E-2</c:v>
                </c:pt>
                <c:pt idx="96">
                  <c:v>6.9601656792170369E-2</c:v>
                </c:pt>
                <c:pt idx="97">
                  <c:v>7.2776133068508442E-2</c:v>
                </c:pt>
                <c:pt idx="98">
                  <c:v>7.5753098013481665E-2</c:v>
                </c:pt>
                <c:pt idx="99">
                  <c:v>7.6814312245463451E-2</c:v>
                </c:pt>
                <c:pt idx="100">
                  <c:v>7.7979077876410036E-2</c:v>
                </c:pt>
                <c:pt idx="101">
                  <c:v>7.9454599246198174E-2</c:v>
                </c:pt>
                <c:pt idx="102">
                  <c:v>8.5395934041964244E-2</c:v>
                </c:pt>
                <c:pt idx="103">
                  <c:v>8.7127197380197793E-2</c:v>
                </c:pt>
                <c:pt idx="104">
                  <c:v>8.7494368704203754E-2</c:v>
                </c:pt>
                <c:pt idx="105">
                  <c:v>9.3096614724150664E-2</c:v>
                </c:pt>
                <c:pt idx="106">
                  <c:v>9.3289282479124436E-2</c:v>
                </c:pt>
                <c:pt idx="107">
                  <c:v>9.9125453044312306E-2</c:v>
                </c:pt>
                <c:pt idx="108">
                  <c:v>0.10009289351945333</c:v>
                </c:pt>
                <c:pt idx="109">
                  <c:v>0.1073427352132711</c:v>
                </c:pt>
                <c:pt idx="110">
                  <c:v>0.10768025491726936</c:v>
                </c:pt>
                <c:pt idx="111">
                  <c:v>0.11070814082299285</c:v>
                </c:pt>
                <c:pt idx="112">
                  <c:v>0.11365212568094948</c:v>
                </c:pt>
                <c:pt idx="113">
                  <c:v>0.11666011068315646</c:v>
                </c:pt>
                <c:pt idx="114">
                  <c:v>0.13632614584787314</c:v>
                </c:pt>
                <c:pt idx="115">
                  <c:v>0.15877677846127211</c:v>
                </c:pt>
                <c:pt idx="116">
                  <c:v>0.17629124514404243</c:v>
                </c:pt>
                <c:pt idx="117">
                  <c:v>0.18933569017906676</c:v>
                </c:pt>
                <c:pt idx="118">
                  <c:v>0.19626188462204325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FD-4E15-AEC0-ABCA916BC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274815"/>
        <c:axId val="706273855"/>
      </c:scatterChart>
      <c:valAx>
        <c:axId val="706274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273855"/>
        <c:crosses val="autoZero"/>
        <c:crossBetween val="midCat"/>
      </c:valAx>
      <c:valAx>
        <c:axId val="706273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62748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American Water'!$E$25:$E$143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American Water'!$F$25:$F$143</c:f>
              <c:numCache>
                <c:formatCode>General</c:formatCode>
                <c:ptCount val="119"/>
                <c:pt idx="0">
                  <c:v>-0.14857566698817748</c:v>
                </c:pt>
                <c:pt idx="1">
                  <c:v>-0.11950090481401598</c:v>
                </c:pt>
                <c:pt idx="2">
                  <c:v>-0.10778499551580425</c:v>
                </c:pt>
                <c:pt idx="3">
                  <c:v>-0.10402032439427157</c:v>
                </c:pt>
                <c:pt idx="4">
                  <c:v>-0.10294584334469083</c:v>
                </c:pt>
                <c:pt idx="5">
                  <c:v>-9.2070407656488135E-2</c:v>
                </c:pt>
                <c:pt idx="6">
                  <c:v>-9.0938694091200714E-2</c:v>
                </c:pt>
                <c:pt idx="7">
                  <c:v>-7.4264460841663216E-2</c:v>
                </c:pt>
                <c:pt idx="8">
                  <c:v>-6.9320251785869591E-2</c:v>
                </c:pt>
                <c:pt idx="9">
                  <c:v>-6.9171724229952838E-2</c:v>
                </c:pt>
                <c:pt idx="10">
                  <c:v>-6.038565336053673E-2</c:v>
                </c:pt>
                <c:pt idx="11">
                  <c:v>-4.5809941032164229E-2</c:v>
                </c:pt>
                <c:pt idx="12">
                  <c:v>-4.5454241544143764E-2</c:v>
                </c:pt>
                <c:pt idx="13">
                  <c:v>-4.4969122890846196E-2</c:v>
                </c:pt>
                <c:pt idx="14">
                  <c:v>-4.3803062623955752E-2</c:v>
                </c:pt>
                <c:pt idx="15">
                  <c:v>-4.061787364378007E-2</c:v>
                </c:pt>
                <c:pt idx="16">
                  <c:v>-4.0266090761506584E-2</c:v>
                </c:pt>
                <c:pt idx="17">
                  <c:v>-3.973219744910364E-2</c:v>
                </c:pt>
                <c:pt idx="18">
                  <c:v>-3.6694012428878438E-2</c:v>
                </c:pt>
                <c:pt idx="19">
                  <c:v>-3.3974226417591985E-2</c:v>
                </c:pt>
                <c:pt idx="20">
                  <c:v>-3.2207958451681382E-2</c:v>
                </c:pt>
                <c:pt idx="21">
                  <c:v>-3.0264380992688154E-2</c:v>
                </c:pt>
                <c:pt idx="22">
                  <c:v>-2.9563083148413091E-2</c:v>
                </c:pt>
                <c:pt idx="23">
                  <c:v>-2.2837754690876677E-2</c:v>
                </c:pt>
                <c:pt idx="24">
                  <c:v>-2.1204822265631189E-2</c:v>
                </c:pt>
                <c:pt idx="25">
                  <c:v>-2.0133310310378769E-2</c:v>
                </c:pt>
                <c:pt idx="26">
                  <c:v>-1.9809639932833495E-2</c:v>
                </c:pt>
                <c:pt idx="27">
                  <c:v>-1.8367092742626927E-2</c:v>
                </c:pt>
                <c:pt idx="28">
                  <c:v>-1.8171372687332613E-2</c:v>
                </c:pt>
                <c:pt idx="29">
                  <c:v>-1.212960924110112E-2</c:v>
                </c:pt>
                <c:pt idx="30">
                  <c:v>-1.2053982956386855E-2</c:v>
                </c:pt>
                <c:pt idx="31">
                  <c:v>-1.0689406807588517E-2</c:v>
                </c:pt>
                <c:pt idx="32">
                  <c:v>-1.0517034548746744E-2</c:v>
                </c:pt>
                <c:pt idx="33">
                  <c:v>-8.1584293618515175E-3</c:v>
                </c:pt>
                <c:pt idx="34">
                  <c:v>-7.7276632298750635E-3</c:v>
                </c:pt>
                <c:pt idx="35">
                  <c:v>-6.2183357543747937E-3</c:v>
                </c:pt>
                <c:pt idx="36">
                  <c:v>-5.9958375138289216E-3</c:v>
                </c:pt>
                <c:pt idx="37">
                  <c:v>-2.4660539802080447E-3</c:v>
                </c:pt>
                <c:pt idx="38">
                  <c:v>-1.8010426270408371E-3</c:v>
                </c:pt>
                <c:pt idx="39">
                  <c:v>-1.3864783161142125E-3</c:v>
                </c:pt>
                <c:pt idx="40">
                  <c:v>5.7814106699819975E-4</c:v>
                </c:pt>
                <c:pt idx="41">
                  <c:v>2.2001228050093405E-3</c:v>
                </c:pt>
                <c:pt idx="42">
                  <c:v>2.3165663709792516E-3</c:v>
                </c:pt>
                <c:pt idx="43">
                  <c:v>2.8632991542634767E-3</c:v>
                </c:pt>
                <c:pt idx="44">
                  <c:v>3.8150104996281403E-3</c:v>
                </c:pt>
                <c:pt idx="45">
                  <c:v>3.8519845913892203E-3</c:v>
                </c:pt>
                <c:pt idx="46">
                  <c:v>4.0140058763824009E-3</c:v>
                </c:pt>
                <c:pt idx="47">
                  <c:v>4.4662841558832317E-3</c:v>
                </c:pt>
                <c:pt idx="48">
                  <c:v>5.269151035068205E-3</c:v>
                </c:pt>
                <c:pt idx="49">
                  <c:v>5.718696148330581E-3</c:v>
                </c:pt>
                <c:pt idx="50">
                  <c:v>6.365702388501069E-3</c:v>
                </c:pt>
                <c:pt idx="51">
                  <c:v>6.9734598438771561E-3</c:v>
                </c:pt>
                <c:pt idx="52">
                  <c:v>7.3354346889498608E-3</c:v>
                </c:pt>
                <c:pt idx="53">
                  <c:v>8.0198422765719712E-3</c:v>
                </c:pt>
                <c:pt idx="54">
                  <c:v>9.1027219317305202E-3</c:v>
                </c:pt>
                <c:pt idx="55">
                  <c:v>1.0243160766399261E-2</c:v>
                </c:pt>
                <c:pt idx="56">
                  <c:v>1.0638092486808436E-2</c:v>
                </c:pt>
                <c:pt idx="57">
                  <c:v>1.2488637209471723E-2</c:v>
                </c:pt>
                <c:pt idx="58">
                  <c:v>1.4925653894019732E-2</c:v>
                </c:pt>
                <c:pt idx="59">
                  <c:v>1.6182704003076299E-2</c:v>
                </c:pt>
                <c:pt idx="60">
                  <c:v>1.7813702849870432E-2</c:v>
                </c:pt>
                <c:pt idx="61">
                  <c:v>1.7815352353448624E-2</c:v>
                </c:pt>
                <c:pt idx="62">
                  <c:v>1.8416657697274935E-2</c:v>
                </c:pt>
                <c:pt idx="63">
                  <c:v>1.9068378580914005E-2</c:v>
                </c:pt>
                <c:pt idx="64">
                  <c:v>1.9351363739684758E-2</c:v>
                </c:pt>
                <c:pt idx="65">
                  <c:v>2.0046946231206238E-2</c:v>
                </c:pt>
                <c:pt idx="66">
                  <c:v>2.1912703190910533E-2</c:v>
                </c:pt>
                <c:pt idx="67">
                  <c:v>2.4046766892279955E-2</c:v>
                </c:pt>
                <c:pt idx="68">
                  <c:v>2.5588210065733658E-2</c:v>
                </c:pt>
                <c:pt idx="69">
                  <c:v>2.6702532541755201E-2</c:v>
                </c:pt>
                <c:pt idx="70">
                  <c:v>2.8840855017219127E-2</c:v>
                </c:pt>
                <c:pt idx="71">
                  <c:v>3.0407044624418435E-2</c:v>
                </c:pt>
                <c:pt idx="72">
                  <c:v>3.0872205338961126E-2</c:v>
                </c:pt>
                <c:pt idx="73">
                  <c:v>3.1218278353305651E-2</c:v>
                </c:pt>
                <c:pt idx="74">
                  <c:v>3.2587384124529814E-2</c:v>
                </c:pt>
                <c:pt idx="75">
                  <c:v>3.3614508589986831E-2</c:v>
                </c:pt>
                <c:pt idx="76">
                  <c:v>3.5168234222108068E-2</c:v>
                </c:pt>
                <c:pt idx="77">
                  <c:v>3.6163280587936809E-2</c:v>
                </c:pt>
                <c:pt idx="78">
                  <c:v>3.7694281988697301E-2</c:v>
                </c:pt>
                <c:pt idx="79">
                  <c:v>3.8517158025108231E-2</c:v>
                </c:pt>
                <c:pt idx="80">
                  <c:v>3.8859860235292698E-2</c:v>
                </c:pt>
                <c:pt idx="81">
                  <c:v>3.9113903042522637E-2</c:v>
                </c:pt>
                <c:pt idx="82">
                  <c:v>4.0382003399214578E-2</c:v>
                </c:pt>
                <c:pt idx="83">
                  <c:v>4.0410164480084124E-2</c:v>
                </c:pt>
                <c:pt idx="84">
                  <c:v>4.0488264680736463E-2</c:v>
                </c:pt>
                <c:pt idx="85">
                  <c:v>4.0554911865220929E-2</c:v>
                </c:pt>
                <c:pt idx="86">
                  <c:v>4.1394106805872403E-2</c:v>
                </c:pt>
                <c:pt idx="87">
                  <c:v>4.3299664428386772E-2</c:v>
                </c:pt>
                <c:pt idx="88">
                  <c:v>4.3635483915333159E-2</c:v>
                </c:pt>
                <c:pt idx="89">
                  <c:v>4.4172327194295841E-2</c:v>
                </c:pt>
                <c:pt idx="90">
                  <c:v>4.4643722338233938E-2</c:v>
                </c:pt>
                <c:pt idx="91">
                  <c:v>4.4834309399466775E-2</c:v>
                </c:pt>
                <c:pt idx="92">
                  <c:v>4.7907392888044693E-2</c:v>
                </c:pt>
                <c:pt idx="93">
                  <c:v>5.328355945000126E-2</c:v>
                </c:pt>
                <c:pt idx="94">
                  <c:v>5.3982704230647029E-2</c:v>
                </c:pt>
                <c:pt idx="95">
                  <c:v>5.4182514444584648E-2</c:v>
                </c:pt>
                <c:pt idx="96">
                  <c:v>5.5564027989926656E-2</c:v>
                </c:pt>
                <c:pt idx="97">
                  <c:v>5.9451589179784776E-2</c:v>
                </c:pt>
                <c:pt idx="98">
                  <c:v>6.0222647852084712E-2</c:v>
                </c:pt>
                <c:pt idx="99">
                  <c:v>6.0400324218226061E-2</c:v>
                </c:pt>
                <c:pt idx="100">
                  <c:v>6.2091256965306152E-2</c:v>
                </c:pt>
                <c:pt idx="101">
                  <c:v>6.2192857712507384E-2</c:v>
                </c:pt>
                <c:pt idx="102">
                  <c:v>6.7447979412019535E-2</c:v>
                </c:pt>
                <c:pt idx="103">
                  <c:v>6.7488205633459558E-2</c:v>
                </c:pt>
                <c:pt idx="104">
                  <c:v>6.7647756154715091E-2</c:v>
                </c:pt>
                <c:pt idx="105">
                  <c:v>6.8922929703766164E-2</c:v>
                </c:pt>
                <c:pt idx="106">
                  <c:v>7.1365468626367931E-2</c:v>
                </c:pt>
                <c:pt idx="107">
                  <c:v>7.7713830421447472E-2</c:v>
                </c:pt>
                <c:pt idx="108">
                  <c:v>8.466209072377541E-2</c:v>
                </c:pt>
                <c:pt idx="109">
                  <c:v>8.6359774515793505E-2</c:v>
                </c:pt>
                <c:pt idx="110">
                  <c:v>9.9837171256221963E-2</c:v>
                </c:pt>
                <c:pt idx="111">
                  <c:v>0.10367858240190933</c:v>
                </c:pt>
                <c:pt idx="112">
                  <c:v>0.10657269138374609</c:v>
                </c:pt>
                <c:pt idx="113">
                  <c:v>0.10866904893588127</c:v>
                </c:pt>
                <c:pt idx="114">
                  <c:v>0.10925225630491082</c:v>
                </c:pt>
                <c:pt idx="115">
                  <c:v>0.11662558752067313</c:v>
                </c:pt>
                <c:pt idx="116">
                  <c:v>0.12437689536330915</c:v>
                </c:pt>
                <c:pt idx="117">
                  <c:v>0.14464466552689426</c:v>
                </c:pt>
                <c:pt idx="118">
                  <c:v>0.14625936231733661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F9-4932-892F-74C93BFF3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011519"/>
        <c:axId val="597013919"/>
      </c:scatterChart>
      <c:valAx>
        <c:axId val="597011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7013919"/>
        <c:crosses val="autoZero"/>
        <c:crossBetween val="midCat"/>
      </c:valAx>
      <c:valAx>
        <c:axId val="597013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70115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Pfizer'!$E$25:$E$143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Pfizer'!$F$25:$F$143</c:f>
              <c:numCache>
                <c:formatCode>General</c:formatCode>
                <c:ptCount val="119"/>
                <c:pt idx="0">
                  <c:v>-0.13817331087138676</c:v>
                </c:pt>
                <c:pt idx="1">
                  <c:v>-0.13522166799881638</c:v>
                </c:pt>
                <c:pt idx="2">
                  <c:v>-0.10770544095267111</c:v>
                </c:pt>
                <c:pt idx="3">
                  <c:v>-0.10648884617117549</c:v>
                </c:pt>
                <c:pt idx="4">
                  <c:v>-0.10341655433424317</c:v>
                </c:pt>
                <c:pt idx="5">
                  <c:v>-0.1023554017458452</c:v>
                </c:pt>
                <c:pt idx="6">
                  <c:v>-9.7585378689929336E-2</c:v>
                </c:pt>
                <c:pt idx="7">
                  <c:v>-9.3410540453455745E-2</c:v>
                </c:pt>
                <c:pt idx="8">
                  <c:v>-8.4706403090547264E-2</c:v>
                </c:pt>
                <c:pt idx="9">
                  <c:v>-7.2861139553983365E-2</c:v>
                </c:pt>
                <c:pt idx="10">
                  <c:v>-6.6420640128499436E-2</c:v>
                </c:pt>
                <c:pt idx="11">
                  <c:v>-6.3773266005390031E-2</c:v>
                </c:pt>
                <c:pt idx="12">
                  <c:v>-5.6982626116788657E-2</c:v>
                </c:pt>
                <c:pt idx="13">
                  <c:v>-5.6654837110964335E-2</c:v>
                </c:pt>
                <c:pt idx="14">
                  <c:v>-5.5452250281350188E-2</c:v>
                </c:pt>
                <c:pt idx="15">
                  <c:v>-5.2749434212671059E-2</c:v>
                </c:pt>
                <c:pt idx="16">
                  <c:v>-5.2153744107474684E-2</c:v>
                </c:pt>
                <c:pt idx="17">
                  <c:v>-4.9515287587502316E-2</c:v>
                </c:pt>
                <c:pt idx="18">
                  <c:v>-4.8521682075884399E-2</c:v>
                </c:pt>
                <c:pt idx="19">
                  <c:v>-4.3795422298171134E-2</c:v>
                </c:pt>
                <c:pt idx="20">
                  <c:v>-3.7440832798032682E-2</c:v>
                </c:pt>
                <c:pt idx="21">
                  <c:v>-3.6620243500308375E-2</c:v>
                </c:pt>
                <c:pt idx="22">
                  <c:v>-3.3242557880464228E-2</c:v>
                </c:pt>
                <c:pt idx="23">
                  <c:v>-3.3019006844539261E-2</c:v>
                </c:pt>
                <c:pt idx="24">
                  <c:v>-3.250061732522079E-2</c:v>
                </c:pt>
                <c:pt idx="25">
                  <c:v>-3.1047090758203336E-2</c:v>
                </c:pt>
                <c:pt idx="26">
                  <c:v>-2.9272667114527195E-2</c:v>
                </c:pt>
                <c:pt idx="27">
                  <c:v>-2.8843613109953318E-2</c:v>
                </c:pt>
                <c:pt idx="28">
                  <c:v>-2.7491428913484627E-2</c:v>
                </c:pt>
                <c:pt idx="29">
                  <c:v>-2.7193848732077194E-2</c:v>
                </c:pt>
                <c:pt idx="30">
                  <c:v>-2.7124008717227331E-2</c:v>
                </c:pt>
                <c:pt idx="31">
                  <c:v>-2.7025170990035607E-2</c:v>
                </c:pt>
                <c:pt idx="32">
                  <c:v>-2.6894119143526105E-2</c:v>
                </c:pt>
                <c:pt idx="33">
                  <c:v>-2.6151952112841624E-2</c:v>
                </c:pt>
                <c:pt idx="34">
                  <c:v>-2.4721541348937101E-2</c:v>
                </c:pt>
                <c:pt idx="35">
                  <c:v>-2.4719848017007235E-2</c:v>
                </c:pt>
                <c:pt idx="36">
                  <c:v>-2.3339261810325515E-2</c:v>
                </c:pt>
                <c:pt idx="37">
                  <c:v>-2.30910598451875E-2</c:v>
                </c:pt>
                <c:pt idx="38">
                  <c:v>-2.291819642953874E-2</c:v>
                </c:pt>
                <c:pt idx="39">
                  <c:v>-2.0300006282293594E-2</c:v>
                </c:pt>
                <c:pt idx="40">
                  <c:v>-1.9708215890272225E-2</c:v>
                </c:pt>
                <c:pt idx="41">
                  <c:v>-1.8633635099665782E-2</c:v>
                </c:pt>
                <c:pt idx="42">
                  <c:v>-1.8574227223773773E-2</c:v>
                </c:pt>
                <c:pt idx="43">
                  <c:v>-1.7927106999064576E-2</c:v>
                </c:pt>
                <c:pt idx="44">
                  <c:v>-1.7521759698221197E-2</c:v>
                </c:pt>
                <c:pt idx="45">
                  <c:v>-1.3528161517216928E-2</c:v>
                </c:pt>
                <c:pt idx="46">
                  <c:v>-1.2801182318117024E-2</c:v>
                </c:pt>
                <c:pt idx="47">
                  <c:v>-8.4771755554504131E-3</c:v>
                </c:pt>
                <c:pt idx="48">
                  <c:v>-8.3330713793494365E-3</c:v>
                </c:pt>
                <c:pt idx="49">
                  <c:v>-7.5091609600728458E-3</c:v>
                </c:pt>
                <c:pt idx="50">
                  <c:v>-7.0016531657565396E-3</c:v>
                </c:pt>
                <c:pt idx="51">
                  <c:v>-4.4317692367015042E-3</c:v>
                </c:pt>
                <c:pt idx="52">
                  <c:v>-3.4396249441523744E-3</c:v>
                </c:pt>
                <c:pt idx="53">
                  <c:v>2.0698706893374393E-3</c:v>
                </c:pt>
                <c:pt idx="54">
                  <c:v>3.2105267363168066E-3</c:v>
                </c:pt>
                <c:pt idx="55">
                  <c:v>3.909328459417342E-3</c:v>
                </c:pt>
                <c:pt idx="56">
                  <c:v>5.6691890559526746E-3</c:v>
                </c:pt>
                <c:pt idx="57">
                  <c:v>6.1244499116554175E-3</c:v>
                </c:pt>
                <c:pt idx="58">
                  <c:v>8.0245738035978429E-3</c:v>
                </c:pt>
                <c:pt idx="59">
                  <c:v>8.6526093707165255E-3</c:v>
                </c:pt>
                <c:pt idx="60">
                  <c:v>8.6608055111428613E-3</c:v>
                </c:pt>
                <c:pt idx="61">
                  <c:v>9.0321041235075766E-3</c:v>
                </c:pt>
                <c:pt idx="62">
                  <c:v>9.5588237636966607E-3</c:v>
                </c:pt>
                <c:pt idx="63">
                  <c:v>1.061598034413532E-2</c:v>
                </c:pt>
                <c:pt idx="64">
                  <c:v>1.2851149027561185E-2</c:v>
                </c:pt>
                <c:pt idx="65">
                  <c:v>1.2852314342374544E-2</c:v>
                </c:pt>
                <c:pt idx="66">
                  <c:v>1.3560287761883694E-2</c:v>
                </c:pt>
                <c:pt idx="67">
                  <c:v>1.6972727021010461E-2</c:v>
                </c:pt>
                <c:pt idx="68">
                  <c:v>1.8433429604460202E-2</c:v>
                </c:pt>
                <c:pt idx="69">
                  <c:v>1.9597938816115493E-2</c:v>
                </c:pt>
                <c:pt idx="70">
                  <c:v>2.0144618038695657E-2</c:v>
                </c:pt>
                <c:pt idx="71">
                  <c:v>2.0657688942510685E-2</c:v>
                </c:pt>
                <c:pt idx="72">
                  <c:v>2.1065409278607505E-2</c:v>
                </c:pt>
                <c:pt idx="73">
                  <c:v>2.2408127704889237E-2</c:v>
                </c:pt>
                <c:pt idx="74">
                  <c:v>2.263726018475724E-2</c:v>
                </c:pt>
                <c:pt idx="75">
                  <c:v>2.2639341447603746E-2</c:v>
                </c:pt>
                <c:pt idx="76">
                  <c:v>2.2919137215308989E-2</c:v>
                </c:pt>
                <c:pt idx="77">
                  <c:v>2.378427320031266E-2</c:v>
                </c:pt>
                <c:pt idx="78">
                  <c:v>2.4167388733857154E-2</c:v>
                </c:pt>
                <c:pt idx="79">
                  <c:v>2.6964206705793796E-2</c:v>
                </c:pt>
                <c:pt idx="80">
                  <c:v>3.0120093650684524E-2</c:v>
                </c:pt>
                <c:pt idx="81">
                  <c:v>3.0903006632726548E-2</c:v>
                </c:pt>
                <c:pt idx="82">
                  <c:v>3.1557965913903051E-2</c:v>
                </c:pt>
                <c:pt idx="83">
                  <c:v>3.3076421387092554E-2</c:v>
                </c:pt>
                <c:pt idx="84">
                  <c:v>3.388723026844899E-2</c:v>
                </c:pt>
                <c:pt idx="85">
                  <c:v>3.4226910603552568E-2</c:v>
                </c:pt>
                <c:pt idx="86">
                  <c:v>3.7219857118960815E-2</c:v>
                </c:pt>
                <c:pt idx="87">
                  <c:v>3.874784865291879E-2</c:v>
                </c:pt>
                <c:pt idx="88">
                  <c:v>3.9819633658617834E-2</c:v>
                </c:pt>
                <c:pt idx="89">
                  <c:v>4.0066455392445285E-2</c:v>
                </c:pt>
                <c:pt idx="90">
                  <c:v>4.3555553372037849E-2</c:v>
                </c:pt>
                <c:pt idx="91">
                  <c:v>4.7713546660188275E-2</c:v>
                </c:pt>
                <c:pt idx="92">
                  <c:v>5.2606562081263561E-2</c:v>
                </c:pt>
                <c:pt idx="93">
                  <c:v>5.6250173439899326E-2</c:v>
                </c:pt>
                <c:pt idx="94">
                  <c:v>6.0837597311554685E-2</c:v>
                </c:pt>
                <c:pt idx="95">
                  <c:v>6.2757039137582349E-2</c:v>
                </c:pt>
                <c:pt idx="96">
                  <c:v>6.375688544204676E-2</c:v>
                </c:pt>
                <c:pt idx="97">
                  <c:v>6.6795447563182897E-2</c:v>
                </c:pt>
                <c:pt idx="98">
                  <c:v>6.7909729177920763E-2</c:v>
                </c:pt>
                <c:pt idx="99">
                  <c:v>6.822127840474683E-2</c:v>
                </c:pt>
                <c:pt idx="100">
                  <c:v>7.0454133443688283E-2</c:v>
                </c:pt>
                <c:pt idx="101">
                  <c:v>7.3618084106782319E-2</c:v>
                </c:pt>
                <c:pt idx="102">
                  <c:v>7.5323161631887875E-2</c:v>
                </c:pt>
                <c:pt idx="103">
                  <c:v>7.5454475814742947E-2</c:v>
                </c:pt>
                <c:pt idx="104">
                  <c:v>7.6727567492884674E-2</c:v>
                </c:pt>
                <c:pt idx="105">
                  <c:v>7.690657702707672E-2</c:v>
                </c:pt>
                <c:pt idx="106">
                  <c:v>8.0904924403024353E-2</c:v>
                </c:pt>
                <c:pt idx="107">
                  <c:v>8.1815432542878694E-2</c:v>
                </c:pt>
                <c:pt idx="108">
                  <c:v>8.5897132116936753E-2</c:v>
                </c:pt>
                <c:pt idx="109">
                  <c:v>9.3207572639270431E-2</c:v>
                </c:pt>
                <c:pt idx="110">
                  <c:v>9.8239888574169251E-2</c:v>
                </c:pt>
                <c:pt idx="111">
                  <c:v>0.10060659936489619</c:v>
                </c:pt>
                <c:pt idx="112">
                  <c:v>0.10289730548153689</c:v>
                </c:pt>
                <c:pt idx="113">
                  <c:v>0.10357652112776156</c:v>
                </c:pt>
                <c:pt idx="114">
                  <c:v>0.10866058953016879</c:v>
                </c:pt>
                <c:pt idx="115">
                  <c:v>0.13807044416185962</c:v>
                </c:pt>
                <c:pt idx="116">
                  <c:v>0.17524502802353006</c:v>
                </c:pt>
                <c:pt idx="117">
                  <c:v>0.17675855430732304</c:v>
                </c:pt>
                <c:pt idx="118">
                  <c:v>0.22839505520154924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23-43D9-B9C9-81B25A1A7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097455"/>
        <c:axId val="631097935"/>
      </c:scatterChart>
      <c:valAx>
        <c:axId val="63109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1097935"/>
        <c:crosses val="autoZero"/>
        <c:crossBetween val="midCat"/>
      </c:valAx>
      <c:valAx>
        <c:axId val="6310979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10974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Tod''s'!$E$25:$E$143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Tod''s'!$F$25:$F$143</c:f>
              <c:numCache>
                <c:formatCode>General</c:formatCode>
                <c:ptCount val="119"/>
                <c:pt idx="0">
                  <c:v>-0.27214170692431561</c:v>
                </c:pt>
                <c:pt idx="1">
                  <c:v>-0.24821345878989995</c:v>
                </c:pt>
                <c:pt idx="2">
                  <c:v>-0.22368181452233071</c:v>
                </c:pt>
                <c:pt idx="3">
                  <c:v>-0.16556838771333288</c:v>
                </c:pt>
                <c:pt idx="4">
                  <c:v>-0.14960632964902185</c:v>
                </c:pt>
                <c:pt idx="5">
                  <c:v>-0.14950714676889376</c:v>
                </c:pt>
                <c:pt idx="6">
                  <c:v>-0.14810562571756603</c:v>
                </c:pt>
                <c:pt idx="7">
                  <c:v>-0.14446795584696834</c:v>
                </c:pt>
                <c:pt idx="8">
                  <c:v>-0.12634566333624808</c:v>
                </c:pt>
                <c:pt idx="9">
                  <c:v>-0.12500002253818851</c:v>
                </c:pt>
                <c:pt idx="10">
                  <c:v>-0.12413788767207745</c:v>
                </c:pt>
                <c:pt idx="11">
                  <c:v>-0.11726722164054788</c:v>
                </c:pt>
                <c:pt idx="12">
                  <c:v>-0.11471870150360949</c:v>
                </c:pt>
                <c:pt idx="13">
                  <c:v>-0.11402234075637213</c:v>
                </c:pt>
                <c:pt idx="14">
                  <c:v>-0.1135869544075786</c:v>
                </c:pt>
                <c:pt idx="15">
                  <c:v>-0.10379391943490539</c:v>
                </c:pt>
                <c:pt idx="16">
                  <c:v>-0.10281928703717168</c:v>
                </c:pt>
                <c:pt idx="17">
                  <c:v>-0.10281195079086115</c:v>
                </c:pt>
                <c:pt idx="18">
                  <c:v>-9.7735396372604394E-2</c:v>
                </c:pt>
                <c:pt idx="19">
                  <c:v>-9.2058998315495369E-2</c:v>
                </c:pt>
                <c:pt idx="20">
                  <c:v>-8.3934393442622948E-2</c:v>
                </c:pt>
                <c:pt idx="21">
                  <c:v>-8.3157894736842111E-2</c:v>
                </c:pt>
                <c:pt idx="22">
                  <c:v>-7.9999986061062831E-2</c:v>
                </c:pt>
                <c:pt idx="23">
                  <c:v>-7.6573088573657647E-2</c:v>
                </c:pt>
                <c:pt idx="24">
                  <c:v>-7.5916196787368176E-2</c:v>
                </c:pt>
                <c:pt idx="25">
                  <c:v>-7.5909784689607712E-2</c:v>
                </c:pt>
                <c:pt idx="26">
                  <c:v>-7.4861260614635369E-2</c:v>
                </c:pt>
                <c:pt idx="27">
                  <c:v>-7.295671233652104E-2</c:v>
                </c:pt>
                <c:pt idx="28">
                  <c:v>-6.953966699314397E-2</c:v>
                </c:pt>
                <c:pt idx="29">
                  <c:v>-6.9395076089204699E-2</c:v>
                </c:pt>
                <c:pt idx="30">
                  <c:v>-6.3734846869788947E-2</c:v>
                </c:pt>
                <c:pt idx="31">
                  <c:v>-6.0235317647058827E-2</c:v>
                </c:pt>
                <c:pt idx="32">
                  <c:v>-5.7649625616391378E-2</c:v>
                </c:pt>
                <c:pt idx="33">
                  <c:v>-4.7539630780872554E-2</c:v>
                </c:pt>
                <c:pt idx="34">
                  <c:v>-4.7017056902491458E-2</c:v>
                </c:pt>
                <c:pt idx="35">
                  <c:v>-4.5702326085905111E-2</c:v>
                </c:pt>
                <c:pt idx="36">
                  <c:v>-4.5307412964331752E-2</c:v>
                </c:pt>
                <c:pt idx="37">
                  <c:v>-4.3232199559993058E-2</c:v>
                </c:pt>
                <c:pt idx="38">
                  <c:v>-3.9852732259176113E-2</c:v>
                </c:pt>
                <c:pt idx="39">
                  <c:v>-3.7878772473955664E-2</c:v>
                </c:pt>
                <c:pt idx="40">
                  <c:v>-3.6741141852806393E-2</c:v>
                </c:pt>
                <c:pt idx="41">
                  <c:v>-3.5108241418544066E-2</c:v>
                </c:pt>
                <c:pt idx="42">
                  <c:v>-3.2719759541179262E-2</c:v>
                </c:pt>
                <c:pt idx="43">
                  <c:v>-3.2061648377874355E-2</c:v>
                </c:pt>
                <c:pt idx="44">
                  <c:v>-3.1167017602597418E-2</c:v>
                </c:pt>
                <c:pt idx="45">
                  <c:v>-3.0303123337791116E-2</c:v>
                </c:pt>
                <c:pt idx="46">
                  <c:v>-3.0107569892473117E-2</c:v>
                </c:pt>
                <c:pt idx="47">
                  <c:v>-2.9921260431520876E-2</c:v>
                </c:pt>
                <c:pt idx="48">
                  <c:v>-2.7218905712741055E-2</c:v>
                </c:pt>
                <c:pt idx="49">
                  <c:v>-2.6181385243957807E-2</c:v>
                </c:pt>
                <c:pt idx="50">
                  <c:v>-2.5682134739095325E-2</c:v>
                </c:pt>
                <c:pt idx="51">
                  <c:v>-2.3692019816263406E-2</c:v>
                </c:pt>
                <c:pt idx="52">
                  <c:v>-2.3673336390815279E-2</c:v>
                </c:pt>
                <c:pt idx="53">
                  <c:v>-2.155886988165252E-2</c:v>
                </c:pt>
                <c:pt idx="54">
                  <c:v>-1.9264475427945894E-2</c:v>
                </c:pt>
                <c:pt idx="55">
                  <c:v>-1.8029588474874066E-2</c:v>
                </c:pt>
                <c:pt idx="56">
                  <c:v>-1.6736397014292765E-2</c:v>
                </c:pt>
                <c:pt idx="57">
                  <c:v>-1.6472853968104318E-2</c:v>
                </c:pt>
                <c:pt idx="58">
                  <c:v>-1.6205896599990475E-2</c:v>
                </c:pt>
                <c:pt idx="59">
                  <c:v>-1.114760626084124E-2</c:v>
                </c:pt>
                <c:pt idx="60">
                  <c:v>-1.0406450370767964E-2</c:v>
                </c:pt>
                <c:pt idx="61">
                  <c:v>-9.8522163443260941E-3</c:v>
                </c:pt>
                <c:pt idx="62">
                  <c:v>-7.4073999884267739E-3</c:v>
                </c:pt>
                <c:pt idx="63">
                  <c:v>-6.4850629695228264E-3</c:v>
                </c:pt>
                <c:pt idx="64">
                  <c:v>-6.1601974687716362E-3</c:v>
                </c:pt>
                <c:pt idx="65">
                  <c:v>-5.933331466080714E-3</c:v>
                </c:pt>
                <c:pt idx="66">
                  <c:v>-2.4630459985803543E-3</c:v>
                </c:pt>
                <c:pt idx="67">
                  <c:v>-2.247199719001143E-3</c:v>
                </c:pt>
                <c:pt idx="68">
                  <c:v>-1.6652907600287453E-3</c:v>
                </c:pt>
                <c:pt idx="69">
                  <c:v>5.580636160714286E-4</c:v>
                </c:pt>
                <c:pt idx="70">
                  <c:v>1.6483273159141663E-3</c:v>
                </c:pt>
                <c:pt idx="71">
                  <c:v>5.1930151716309755E-3</c:v>
                </c:pt>
                <c:pt idx="72">
                  <c:v>1.0891732092813763E-2</c:v>
                </c:pt>
                <c:pt idx="73">
                  <c:v>1.3133266600837327E-2</c:v>
                </c:pt>
                <c:pt idx="74">
                  <c:v>1.5484998087395816E-2</c:v>
                </c:pt>
                <c:pt idx="75">
                  <c:v>2.0123877708978329E-2</c:v>
                </c:pt>
                <c:pt idx="76">
                  <c:v>2.0932458637315549E-2</c:v>
                </c:pt>
                <c:pt idx="77">
                  <c:v>2.1289484546771348E-2</c:v>
                </c:pt>
                <c:pt idx="78">
                  <c:v>2.2492983552271882E-2</c:v>
                </c:pt>
                <c:pt idx="79">
                  <c:v>2.2998326380650181E-2</c:v>
                </c:pt>
                <c:pt idx="80">
                  <c:v>2.4390152639465999E-2</c:v>
                </c:pt>
                <c:pt idx="81">
                  <c:v>2.7422387827965751E-2</c:v>
                </c:pt>
                <c:pt idx="82">
                  <c:v>2.9850703571695541E-2</c:v>
                </c:pt>
                <c:pt idx="83">
                  <c:v>3.2048122985681597E-2</c:v>
                </c:pt>
                <c:pt idx="84">
                  <c:v>3.3333333333333333E-2</c:v>
                </c:pt>
                <c:pt idx="85">
                  <c:v>3.742386939564555E-2</c:v>
                </c:pt>
                <c:pt idx="86">
                  <c:v>3.8081133483707556E-2</c:v>
                </c:pt>
                <c:pt idx="87">
                  <c:v>3.9508193618691893E-2</c:v>
                </c:pt>
                <c:pt idx="88">
                  <c:v>4.716978511530398E-2</c:v>
                </c:pt>
                <c:pt idx="89">
                  <c:v>5.5386909886687791E-2</c:v>
                </c:pt>
                <c:pt idx="90">
                  <c:v>6.1016991245864419E-2</c:v>
                </c:pt>
                <c:pt idx="91">
                  <c:v>6.337142152634416E-2</c:v>
                </c:pt>
                <c:pt idx="92">
                  <c:v>6.4138285997259181E-2</c:v>
                </c:pt>
                <c:pt idx="93">
                  <c:v>6.5436220637583892E-2</c:v>
                </c:pt>
                <c:pt idx="94">
                  <c:v>6.5517215644840449E-2</c:v>
                </c:pt>
                <c:pt idx="95">
                  <c:v>7.0556988938749926E-2</c:v>
                </c:pt>
                <c:pt idx="96">
                  <c:v>7.5091696318830461E-2</c:v>
                </c:pt>
                <c:pt idx="97">
                  <c:v>7.9812081468993171E-2</c:v>
                </c:pt>
                <c:pt idx="98">
                  <c:v>8.0097158911863434E-2</c:v>
                </c:pt>
                <c:pt idx="99">
                  <c:v>8.4745781697835545E-2</c:v>
                </c:pt>
                <c:pt idx="100">
                  <c:v>8.7499989228501843E-2</c:v>
                </c:pt>
                <c:pt idx="101">
                  <c:v>8.957076386713464E-2</c:v>
                </c:pt>
                <c:pt idx="102">
                  <c:v>9.5325360482898691E-2</c:v>
                </c:pt>
                <c:pt idx="103">
                  <c:v>9.5957109207084529E-2</c:v>
                </c:pt>
                <c:pt idx="104">
                  <c:v>9.9690884841224292E-2</c:v>
                </c:pt>
                <c:pt idx="105">
                  <c:v>0.10135129187152285</c:v>
                </c:pt>
                <c:pt idx="106">
                  <c:v>0.10539218105150477</c:v>
                </c:pt>
                <c:pt idx="107">
                  <c:v>0.11026931818181818</c:v>
                </c:pt>
                <c:pt idx="108">
                  <c:v>0.12707199247116469</c:v>
                </c:pt>
                <c:pt idx="109">
                  <c:v>0.1342837897658247</c:v>
                </c:pt>
                <c:pt idx="110">
                  <c:v>0.14444436505669236</c:v>
                </c:pt>
                <c:pt idx="111">
                  <c:v>0.16307277628032346</c:v>
                </c:pt>
                <c:pt idx="112">
                  <c:v>0.17149475666280417</c:v>
                </c:pt>
                <c:pt idx="113">
                  <c:v>0.18361951176950092</c:v>
                </c:pt>
                <c:pt idx="114">
                  <c:v>0.19774245401337792</c:v>
                </c:pt>
                <c:pt idx="115">
                  <c:v>0.22227902969542743</c:v>
                </c:pt>
                <c:pt idx="116">
                  <c:v>0.26388902611261755</c:v>
                </c:pt>
                <c:pt idx="117">
                  <c:v>0.406901473759885</c:v>
                </c:pt>
                <c:pt idx="118">
                  <c:v>0.43141587389380531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89-4AB7-80F3-B159FB3F7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534431"/>
        <c:axId val="597011039"/>
      </c:scatterChart>
      <c:valAx>
        <c:axId val="70553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7011039"/>
        <c:crosses val="autoZero"/>
        <c:crossBetween val="midCat"/>
      </c:valAx>
      <c:valAx>
        <c:axId val="597011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5344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Riso'!$E$25:$E$143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Riso'!$F$25:$F$143</c:f>
              <c:numCache>
                <c:formatCode>General</c:formatCode>
                <c:ptCount val="119"/>
                <c:pt idx="0">
                  <c:v>-0.23839201436861546</c:v>
                </c:pt>
                <c:pt idx="1">
                  <c:v>-0.18742136905517812</c:v>
                </c:pt>
                <c:pt idx="2">
                  <c:v>-0.17516766527586819</c:v>
                </c:pt>
                <c:pt idx="3">
                  <c:v>-0.1660759778499272</c:v>
                </c:pt>
                <c:pt idx="4">
                  <c:v>-0.15679727765926818</c:v>
                </c:pt>
                <c:pt idx="5">
                  <c:v>-0.14309842627893787</c:v>
                </c:pt>
                <c:pt idx="6">
                  <c:v>-0.14108734069623896</c:v>
                </c:pt>
                <c:pt idx="7">
                  <c:v>-0.13568943137685247</c:v>
                </c:pt>
                <c:pt idx="8">
                  <c:v>-0.13248802995083409</c:v>
                </c:pt>
                <c:pt idx="9">
                  <c:v>-0.13083090570067782</c:v>
                </c:pt>
                <c:pt idx="10">
                  <c:v>-0.12745096200551534</c:v>
                </c:pt>
                <c:pt idx="11">
                  <c:v>-0.1215307008715367</c:v>
                </c:pt>
                <c:pt idx="12">
                  <c:v>-0.12066205437706547</c:v>
                </c:pt>
                <c:pt idx="13">
                  <c:v>-0.11187703806674443</c:v>
                </c:pt>
                <c:pt idx="14">
                  <c:v>-0.10857589792911122</c:v>
                </c:pt>
                <c:pt idx="15">
                  <c:v>-0.10478915567349981</c:v>
                </c:pt>
                <c:pt idx="16">
                  <c:v>-9.5836855167684656E-2</c:v>
                </c:pt>
                <c:pt idx="17">
                  <c:v>-9.2970542818363824E-2</c:v>
                </c:pt>
                <c:pt idx="18">
                  <c:v>-8.5872548382851979E-2</c:v>
                </c:pt>
                <c:pt idx="19">
                  <c:v>-7.9083354541329823E-2</c:v>
                </c:pt>
                <c:pt idx="20">
                  <c:v>-7.3135511880772441E-2</c:v>
                </c:pt>
                <c:pt idx="21">
                  <c:v>-6.900723499064941E-2</c:v>
                </c:pt>
                <c:pt idx="22">
                  <c:v>-5.9154985248616246E-2</c:v>
                </c:pt>
                <c:pt idx="23">
                  <c:v>-5.8512823334124803E-2</c:v>
                </c:pt>
                <c:pt idx="24">
                  <c:v>-5.6116297263893472E-2</c:v>
                </c:pt>
                <c:pt idx="25">
                  <c:v>-5.6095057015673015E-2</c:v>
                </c:pt>
                <c:pt idx="26">
                  <c:v>-5.4553682412358931E-2</c:v>
                </c:pt>
                <c:pt idx="27">
                  <c:v>-5.1003760317384114E-2</c:v>
                </c:pt>
                <c:pt idx="28">
                  <c:v>-4.7494510773801513E-2</c:v>
                </c:pt>
                <c:pt idx="29">
                  <c:v>-4.3802362690244019E-2</c:v>
                </c:pt>
                <c:pt idx="30">
                  <c:v>-4.1530440001157874E-2</c:v>
                </c:pt>
                <c:pt idx="31">
                  <c:v>-3.9346829272495415E-2</c:v>
                </c:pt>
                <c:pt idx="32">
                  <c:v>-3.7813456549208042E-2</c:v>
                </c:pt>
                <c:pt idx="33">
                  <c:v>-3.4636359696587349E-2</c:v>
                </c:pt>
                <c:pt idx="34">
                  <c:v>-3.2730639613131586E-2</c:v>
                </c:pt>
                <c:pt idx="35">
                  <c:v>-3.0044915811343904E-2</c:v>
                </c:pt>
                <c:pt idx="36">
                  <c:v>-2.8976888848359091E-2</c:v>
                </c:pt>
                <c:pt idx="37">
                  <c:v>-2.8891491621862574E-2</c:v>
                </c:pt>
                <c:pt idx="38">
                  <c:v>-2.575485870848691E-2</c:v>
                </c:pt>
                <c:pt idx="39">
                  <c:v>-2.507474296358966E-2</c:v>
                </c:pt>
                <c:pt idx="40">
                  <c:v>-2.330392623678124E-2</c:v>
                </c:pt>
                <c:pt idx="41">
                  <c:v>-1.8867956507882883E-2</c:v>
                </c:pt>
                <c:pt idx="42">
                  <c:v>-1.8225500643958985E-2</c:v>
                </c:pt>
                <c:pt idx="43">
                  <c:v>-1.8206624680375226E-2</c:v>
                </c:pt>
                <c:pt idx="44">
                  <c:v>-1.6745438848640895E-2</c:v>
                </c:pt>
                <c:pt idx="45">
                  <c:v>-1.2500014298113126E-2</c:v>
                </c:pt>
                <c:pt idx="46">
                  <c:v>-1.1531401137206116E-2</c:v>
                </c:pt>
                <c:pt idx="47">
                  <c:v>-8.6143990774158168E-3</c:v>
                </c:pt>
                <c:pt idx="48">
                  <c:v>-8.5431980113474474E-3</c:v>
                </c:pt>
                <c:pt idx="49">
                  <c:v>-4.3776442165542884E-3</c:v>
                </c:pt>
                <c:pt idx="50">
                  <c:v>-2.0212340482285143E-3</c:v>
                </c:pt>
                <c:pt idx="51">
                  <c:v>0</c:v>
                </c:pt>
                <c:pt idx="52">
                  <c:v>0</c:v>
                </c:pt>
                <c:pt idx="53">
                  <c:v>2.5390682259705255E-3</c:v>
                </c:pt>
                <c:pt idx="54">
                  <c:v>3.4756888267954878E-3</c:v>
                </c:pt>
                <c:pt idx="55">
                  <c:v>4.6472835616221024E-3</c:v>
                </c:pt>
                <c:pt idx="56">
                  <c:v>6.410189379008272E-3</c:v>
                </c:pt>
                <c:pt idx="57">
                  <c:v>9.9087694152217558E-3</c:v>
                </c:pt>
                <c:pt idx="58">
                  <c:v>1.2403720234584125E-2</c:v>
                </c:pt>
                <c:pt idx="59">
                  <c:v>1.4174610107090016E-2</c:v>
                </c:pt>
                <c:pt idx="60">
                  <c:v>1.5544105062062264E-2</c:v>
                </c:pt>
                <c:pt idx="61">
                  <c:v>1.5781221366619098E-2</c:v>
                </c:pt>
                <c:pt idx="62">
                  <c:v>1.745491878328042E-2</c:v>
                </c:pt>
                <c:pt idx="63">
                  <c:v>1.8503270185145901E-2</c:v>
                </c:pt>
                <c:pt idx="64">
                  <c:v>1.9746716396079229E-2</c:v>
                </c:pt>
                <c:pt idx="65">
                  <c:v>1.9853359311279233E-2</c:v>
                </c:pt>
                <c:pt idx="66">
                  <c:v>2.0127948259951074E-2</c:v>
                </c:pt>
                <c:pt idx="67">
                  <c:v>2.1250654200579491E-2</c:v>
                </c:pt>
                <c:pt idx="68">
                  <c:v>2.282662648226012E-2</c:v>
                </c:pt>
                <c:pt idx="69">
                  <c:v>2.4053400684988117E-2</c:v>
                </c:pt>
                <c:pt idx="70">
                  <c:v>2.718330318938858E-2</c:v>
                </c:pt>
                <c:pt idx="71">
                  <c:v>2.7939527491294205E-2</c:v>
                </c:pt>
                <c:pt idx="72">
                  <c:v>3.2104664376370891E-2</c:v>
                </c:pt>
                <c:pt idx="73">
                  <c:v>3.4455031470030976E-2</c:v>
                </c:pt>
                <c:pt idx="74">
                  <c:v>3.4466193102749516E-2</c:v>
                </c:pt>
                <c:pt idx="75">
                  <c:v>3.495131654369029E-2</c:v>
                </c:pt>
                <c:pt idx="76">
                  <c:v>3.631649241381045E-2</c:v>
                </c:pt>
                <c:pt idx="77">
                  <c:v>4.7161519140202932E-2</c:v>
                </c:pt>
                <c:pt idx="78">
                  <c:v>4.9689499114038693E-2</c:v>
                </c:pt>
                <c:pt idx="79">
                  <c:v>5.1048175913139801E-2</c:v>
                </c:pt>
                <c:pt idx="80">
                  <c:v>5.3412558090892438E-2</c:v>
                </c:pt>
                <c:pt idx="81">
                  <c:v>5.6386964498524962E-2</c:v>
                </c:pt>
                <c:pt idx="82">
                  <c:v>5.7613290891013705E-2</c:v>
                </c:pt>
                <c:pt idx="83">
                  <c:v>5.9110849571468553E-2</c:v>
                </c:pt>
                <c:pt idx="84">
                  <c:v>6.0825804571560144E-2</c:v>
                </c:pt>
                <c:pt idx="85">
                  <c:v>6.1325358312541628E-2</c:v>
                </c:pt>
                <c:pt idx="86">
                  <c:v>6.6666695464004624E-2</c:v>
                </c:pt>
                <c:pt idx="87">
                  <c:v>7.8925818413912469E-2</c:v>
                </c:pt>
                <c:pt idx="88">
                  <c:v>7.9008571933907076E-2</c:v>
                </c:pt>
                <c:pt idx="89">
                  <c:v>8.453970888192823E-2</c:v>
                </c:pt>
                <c:pt idx="90">
                  <c:v>8.6207083069941487E-2</c:v>
                </c:pt>
                <c:pt idx="91">
                  <c:v>8.6765660715551515E-2</c:v>
                </c:pt>
                <c:pt idx="92">
                  <c:v>8.8038939874976907E-2</c:v>
                </c:pt>
                <c:pt idx="93">
                  <c:v>8.8228245560733345E-2</c:v>
                </c:pt>
                <c:pt idx="94">
                  <c:v>8.8270319053219304E-2</c:v>
                </c:pt>
                <c:pt idx="95">
                  <c:v>9.1317329541265785E-2</c:v>
                </c:pt>
                <c:pt idx="96">
                  <c:v>9.5354432951365919E-2</c:v>
                </c:pt>
                <c:pt idx="97">
                  <c:v>9.5776737544582394E-2</c:v>
                </c:pt>
                <c:pt idx="98">
                  <c:v>9.648339621871764E-2</c:v>
                </c:pt>
                <c:pt idx="99">
                  <c:v>0.10564657120475442</c:v>
                </c:pt>
                <c:pt idx="100">
                  <c:v>0.10755661307720825</c:v>
                </c:pt>
                <c:pt idx="101">
                  <c:v>0.10780673416972737</c:v>
                </c:pt>
                <c:pt idx="102">
                  <c:v>0.10994525367609785</c:v>
                </c:pt>
                <c:pt idx="103">
                  <c:v>0.1103789494204884</c:v>
                </c:pt>
                <c:pt idx="104">
                  <c:v>0.11452244134032269</c:v>
                </c:pt>
                <c:pt idx="105">
                  <c:v>0.11587149570778328</c:v>
                </c:pt>
                <c:pt idx="106">
                  <c:v>0.12878785533862439</c:v>
                </c:pt>
                <c:pt idx="107">
                  <c:v>0.12911080797437582</c:v>
                </c:pt>
                <c:pt idx="108">
                  <c:v>0.13825509327743779</c:v>
                </c:pt>
                <c:pt idx="109">
                  <c:v>0.13973210309269049</c:v>
                </c:pt>
                <c:pt idx="110">
                  <c:v>0.14050605224752469</c:v>
                </c:pt>
                <c:pt idx="111">
                  <c:v>0.1466914346429555</c:v>
                </c:pt>
                <c:pt idx="112">
                  <c:v>0.14839374348341547</c:v>
                </c:pt>
                <c:pt idx="113">
                  <c:v>0.14921882007109408</c:v>
                </c:pt>
                <c:pt idx="114">
                  <c:v>0.16415325273595238</c:v>
                </c:pt>
                <c:pt idx="115">
                  <c:v>0.24230182874498365</c:v>
                </c:pt>
                <c:pt idx="116">
                  <c:v>0.25640376393427311</c:v>
                </c:pt>
                <c:pt idx="117">
                  <c:v>0.28887670871263854</c:v>
                </c:pt>
                <c:pt idx="118">
                  <c:v>0.30984850079766468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5-4E7A-87C7-2671F276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534431"/>
        <c:axId val="705532511"/>
      </c:scatterChart>
      <c:valAx>
        <c:axId val="70553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532511"/>
        <c:crosses val="autoZero"/>
        <c:crossBetween val="midCat"/>
      </c:valAx>
      <c:valAx>
        <c:axId val="705532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5344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Tracciato della probabilità normale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'Regressione First Solar'!$E$25:$E$143</c:f>
              <c:numCache>
                <c:formatCode>General</c:formatCode>
                <c:ptCount val="119"/>
                <c:pt idx="0">
                  <c:v>0.42016806722689076</c:v>
                </c:pt>
                <c:pt idx="1">
                  <c:v>1.2605042016806722</c:v>
                </c:pt>
                <c:pt idx="2">
                  <c:v>2.1008403361344539</c:v>
                </c:pt>
                <c:pt idx="3">
                  <c:v>2.9411764705882351</c:v>
                </c:pt>
                <c:pt idx="4">
                  <c:v>3.7815126050420167</c:v>
                </c:pt>
                <c:pt idx="5">
                  <c:v>4.6218487394957988</c:v>
                </c:pt>
                <c:pt idx="6">
                  <c:v>5.46218487394958</c:v>
                </c:pt>
                <c:pt idx="7">
                  <c:v>6.302521008403362</c:v>
                </c:pt>
                <c:pt idx="8">
                  <c:v>7.1428571428571432</c:v>
                </c:pt>
                <c:pt idx="9">
                  <c:v>7.9831932773109244</c:v>
                </c:pt>
                <c:pt idx="10">
                  <c:v>8.8235294117647065</c:v>
                </c:pt>
                <c:pt idx="11">
                  <c:v>9.6638655462184886</c:v>
                </c:pt>
                <c:pt idx="12">
                  <c:v>10.504201680672269</c:v>
                </c:pt>
                <c:pt idx="13">
                  <c:v>11.344537815126051</c:v>
                </c:pt>
                <c:pt idx="14">
                  <c:v>12.184873949579833</c:v>
                </c:pt>
                <c:pt idx="15">
                  <c:v>13.025210084033613</c:v>
                </c:pt>
                <c:pt idx="16">
                  <c:v>13.865546218487395</c:v>
                </c:pt>
                <c:pt idx="17">
                  <c:v>14.705882352941178</c:v>
                </c:pt>
                <c:pt idx="18">
                  <c:v>15.546218487394958</c:v>
                </c:pt>
                <c:pt idx="19">
                  <c:v>16.386554621848738</c:v>
                </c:pt>
                <c:pt idx="20">
                  <c:v>17.22689075630252</c:v>
                </c:pt>
                <c:pt idx="21">
                  <c:v>18.067226890756302</c:v>
                </c:pt>
                <c:pt idx="22">
                  <c:v>18.907563025210084</c:v>
                </c:pt>
                <c:pt idx="23">
                  <c:v>19.747899159663863</c:v>
                </c:pt>
                <c:pt idx="24">
                  <c:v>20.588235294117645</c:v>
                </c:pt>
                <c:pt idx="25">
                  <c:v>21.428571428571427</c:v>
                </c:pt>
                <c:pt idx="26">
                  <c:v>22.268907563025209</c:v>
                </c:pt>
                <c:pt idx="27">
                  <c:v>23.109243697478991</c:v>
                </c:pt>
                <c:pt idx="28">
                  <c:v>23.949579831932773</c:v>
                </c:pt>
                <c:pt idx="29">
                  <c:v>24.789915966386552</c:v>
                </c:pt>
                <c:pt idx="30">
                  <c:v>25.630252100840334</c:v>
                </c:pt>
                <c:pt idx="31">
                  <c:v>26.470588235294116</c:v>
                </c:pt>
                <c:pt idx="32">
                  <c:v>27.310924369747898</c:v>
                </c:pt>
                <c:pt idx="33">
                  <c:v>28.15126050420168</c:v>
                </c:pt>
                <c:pt idx="34">
                  <c:v>28.991596638655462</c:v>
                </c:pt>
                <c:pt idx="35">
                  <c:v>29.831932773109244</c:v>
                </c:pt>
                <c:pt idx="36">
                  <c:v>30.672268907563023</c:v>
                </c:pt>
                <c:pt idx="37">
                  <c:v>31.512605042016805</c:v>
                </c:pt>
                <c:pt idx="38">
                  <c:v>32.352941176470587</c:v>
                </c:pt>
                <c:pt idx="39">
                  <c:v>33.193277310924366</c:v>
                </c:pt>
                <c:pt idx="40">
                  <c:v>34.033613445378151</c:v>
                </c:pt>
                <c:pt idx="41">
                  <c:v>34.87394957983193</c:v>
                </c:pt>
                <c:pt idx="42">
                  <c:v>35.714285714285715</c:v>
                </c:pt>
                <c:pt idx="43">
                  <c:v>36.554621848739494</c:v>
                </c:pt>
                <c:pt idx="44">
                  <c:v>37.394957983193279</c:v>
                </c:pt>
                <c:pt idx="45">
                  <c:v>38.235294117647058</c:v>
                </c:pt>
                <c:pt idx="46">
                  <c:v>39.075630252100837</c:v>
                </c:pt>
                <c:pt idx="47">
                  <c:v>39.915966386554622</c:v>
                </c:pt>
                <c:pt idx="48">
                  <c:v>40.756302521008401</c:v>
                </c:pt>
                <c:pt idx="49">
                  <c:v>41.596638655462186</c:v>
                </c:pt>
                <c:pt idx="50">
                  <c:v>42.436974789915965</c:v>
                </c:pt>
                <c:pt idx="51">
                  <c:v>43.27731092436975</c:v>
                </c:pt>
                <c:pt idx="52">
                  <c:v>44.117647058823529</c:v>
                </c:pt>
                <c:pt idx="53">
                  <c:v>44.957983193277308</c:v>
                </c:pt>
                <c:pt idx="54">
                  <c:v>45.798319327731093</c:v>
                </c:pt>
                <c:pt idx="55">
                  <c:v>46.638655462184872</c:v>
                </c:pt>
                <c:pt idx="56">
                  <c:v>47.478991596638657</c:v>
                </c:pt>
                <c:pt idx="57">
                  <c:v>48.319327731092436</c:v>
                </c:pt>
                <c:pt idx="58">
                  <c:v>49.159663865546214</c:v>
                </c:pt>
                <c:pt idx="59">
                  <c:v>50</c:v>
                </c:pt>
                <c:pt idx="60">
                  <c:v>50.840336134453779</c:v>
                </c:pt>
                <c:pt idx="61">
                  <c:v>51.680672268907564</c:v>
                </c:pt>
                <c:pt idx="62">
                  <c:v>52.521008403361343</c:v>
                </c:pt>
                <c:pt idx="63">
                  <c:v>53.361344537815128</c:v>
                </c:pt>
                <c:pt idx="64">
                  <c:v>54.201680672268907</c:v>
                </c:pt>
                <c:pt idx="65">
                  <c:v>55.042016806722685</c:v>
                </c:pt>
                <c:pt idx="66">
                  <c:v>55.882352941176471</c:v>
                </c:pt>
                <c:pt idx="67">
                  <c:v>56.72268907563025</c:v>
                </c:pt>
                <c:pt idx="68">
                  <c:v>57.563025210084035</c:v>
                </c:pt>
                <c:pt idx="69">
                  <c:v>58.403361344537814</c:v>
                </c:pt>
                <c:pt idx="70">
                  <c:v>59.243697478991599</c:v>
                </c:pt>
                <c:pt idx="71">
                  <c:v>60.084033613445378</c:v>
                </c:pt>
                <c:pt idx="72">
                  <c:v>60.924369747899156</c:v>
                </c:pt>
                <c:pt idx="73">
                  <c:v>61.764705882352942</c:v>
                </c:pt>
                <c:pt idx="74">
                  <c:v>62.605042016806721</c:v>
                </c:pt>
                <c:pt idx="75">
                  <c:v>63.445378151260506</c:v>
                </c:pt>
                <c:pt idx="76">
                  <c:v>64.285714285714292</c:v>
                </c:pt>
                <c:pt idx="77">
                  <c:v>65.12605042016807</c:v>
                </c:pt>
                <c:pt idx="78">
                  <c:v>65.966386554621849</c:v>
                </c:pt>
                <c:pt idx="79">
                  <c:v>66.806722689075642</c:v>
                </c:pt>
                <c:pt idx="80">
                  <c:v>67.64705882352942</c:v>
                </c:pt>
                <c:pt idx="81">
                  <c:v>68.487394957983199</c:v>
                </c:pt>
                <c:pt idx="82">
                  <c:v>69.327731092436977</c:v>
                </c:pt>
                <c:pt idx="83">
                  <c:v>70.16806722689077</c:v>
                </c:pt>
                <c:pt idx="84">
                  <c:v>71.008403361344548</c:v>
                </c:pt>
                <c:pt idx="85">
                  <c:v>71.848739495798327</c:v>
                </c:pt>
                <c:pt idx="86">
                  <c:v>72.689075630252105</c:v>
                </c:pt>
                <c:pt idx="87">
                  <c:v>73.529411764705884</c:v>
                </c:pt>
                <c:pt idx="88">
                  <c:v>74.369747899159677</c:v>
                </c:pt>
                <c:pt idx="89">
                  <c:v>75.210084033613455</c:v>
                </c:pt>
                <c:pt idx="90">
                  <c:v>76.050420168067234</c:v>
                </c:pt>
                <c:pt idx="91">
                  <c:v>76.890756302521012</c:v>
                </c:pt>
                <c:pt idx="92">
                  <c:v>77.731092436974791</c:v>
                </c:pt>
                <c:pt idx="93">
                  <c:v>78.571428571428584</c:v>
                </c:pt>
                <c:pt idx="94">
                  <c:v>79.411764705882362</c:v>
                </c:pt>
                <c:pt idx="95">
                  <c:v>80.252100840336141</c:v>
                </c:pt>
                <c:pt idx="96">
                  <c:v>81.092436974789919</c:v>
                </c:pt>
                <c:pt idx="97">
                  <c:v>81.932773109243698</c:v>
                </c:pt>
                <c:pt idx="98">
                  <c:v>82.77310924369749</c:v>
                </c:pt>
                <c:pt idx="99">
                  <c:v>83.613445378151269</c:v>
                </c:pt>
                <c:pt idx="100">
                  <c:v>84.453781512605048</c:v>
                </c:pt>
                <c:pt idx="101">
                  <c:v>85.294117647058826</c:v>
                </c:pt>
                <c:pt idx="102">
                  <c:v>86.134453781512619</c:v>
                </c:pt>
                <c:pt idx="103">
                  <c:v>86.974789915966397</c:v>
                </c:pt>
                <c:pt idx="104">
                  <c:v>87.815126050420176</c:v>
                </c:pt>
                <c:pt idx="105">
                  <c:v>88.655462184873954</c:v>
                </c:pt>
                <c:pt idx="106">
                  <c:v>89.495798319327733</c:v>
                </c:pt>
                <c:pt idx="107">
                  <c:v>90.336134453781526</c:v>
                </c:pt>
                <c:pt idx="108">
                  <c:v>91.176470588235304</c:v>
                </c:pt>
                <c:pt idx="109">
                  <c:v>92.016806722689083</c:v>
                </c:pt>
                <c:pt idx="110">
                  <c:v>92.857142857142861</c:v>
                </c:pt>
                <c:pt idx="111">
                  <c:v>93.69747899159664</c:v>
                </c:pt>
                <c:pt idx="112">
                  <c:v>94.537815126050432</c:v>
                </c:pt>
                <c:pt idx="113">
                  <c:v>95.378151260504211</c:v>
                </c:pt>
                <c:pt idx="114">
                  <c:v>96.21848739495799</c:v>
                </c:pt>
                <c:pt idx="115">
                  <c:v>97.058823529411768</c:v>
                </c:pt>
                <c:pt idx="116">
                  <c:v>97.899159663865547</c:v>
                </c:pt>
                <c:pt idx="117">
                  <c:v>98.739495798319339</c:v>
                </c:pt>
                <c:pt idx="118">
                  <c:v>99.579831932773118</c:v>
                </c:pt>
              </c:numCache>
            </c:numRef>
          </c:xVal>
          <c:yVal>
            <c:numRef>
              <c:f>'Regressione First Solar'!$F$25:$F$143</c:f>
              <c:numCache>
                <c:formatCode>General</c:formatCode>
                <c:ptCount val="119"/>
                <c:pt idx="0">
                  <c:v>-0.25396179898492893</c:v>
                </c:pt>
                <c:pt idx="1">
                  <c:v>-0.25117433686582857</c:v>
                </c:pt>
                <c:pt idx="2">
                  <c:v>-0.25117316615593155</c:v>
                </c:pt>
                <c:pt idx="3">
                  <c:v>-0.22112114744681041</c:v>
                </c:pt>
                <c:pt idx="4">
                  <c:v>-0.21214767314835045</c:v>
                </c:pt>
                <c:pt idx="5">
                  <c:v>-0.18980291345329905</c:v>
                </c:pt>
                <c:pt idx="6">
                  <c:v>-0.1844603595083926</c:v>
                </c:pt>
                <c:pt idx="7">
                  <c:v>-0.18285430796057875</c:v>
                </c:pt>
                <c:pt idx="8">
                  <c:v>-0.17613528545937279</c:v>
                </c:pt>
                <c:pt idx="9">
                  <c:v>-0.17147712490739814</c:v>
                </c:pt>
                <c:pt idx="10">
                  <c:v>-0.16691803810685565</c:v>
                </c:pt>
                <c:pt idx="11">
                  <c:v>-0.15868720383566032</c:v>
                </c:pt>
                <c:pt idx="12">
                  <c:v>-0.13672034848080744</c:v>
                </c:pt>
                <c:pt idx="13">
                  <c:v>-0.13565739055528872</c:v>
                </c:pt>
                <c:pt idx="14">
                  <c:v>-0.13370681942325677</c:v>
                </c:pt>
                <c:pt idx="15">
                  <c:v>-0.13180320020751871</c:v>
                </c:pt>
                <c:pt idx="16">
                  <c:v>-0.12789585927623262</c:v>
                </c:pt>
                <c:pt idx="17">
                  <c:v>-0.1233677391740754</c:v>
                </c:pt>
                <c:pt idx="18">
                  <c:v>-0.11400995557558892</c:v>
                </c:pt>
                <c:pt idx="19">
                  <c:v>-0.11187724773085414</c:v>
                </c:pt>
                <c:pt idx="20">
                  <c:v>-0.11085239971346705</c:v>
                </c:pt>
                <c:pt idx="21">
                  <c:v>-0.10722284458620392</c:v>
                </c:pt>
                <c:pt idx="22">
                  <c:v>-0.10639632107023411</c:v>
                </c:pt>
                <c:pt idx="23">
                  <c:v>-0.10499918264698929</c:v>
                </c:pt>
                <c:pt idx="24">
                  <c:v>-0.10073435746974037</c:v>
                </c:pt>
                <c:pt idx="25">
                  <c:v>-8.6593129388164491E-2</c:v>
                </c:pt>
                <c:pt idx="26">
                  <c:v>-8.6065596025934346E-2</c:v>
                </c:pt>
                <c:pt idx="27">
                  <c:v>-8.460511437561459E-2</c:v>
                </c:pt>
                <c:pt idx="28">
                  <c:v>-7.6845539457622444E-2</c:v>
                </c:pt>
                <c:pt idx="29">
                  <c:v>-7.4304485254474473E-2</c:v>
                </c:pt>
                <c:pt idx="30">
                  <c:v>-7.0276571801974969E-2</c:v>
                </c:pt>
                <c:pt idx="31">
                  <c:v>-6.5410053165780566E-2</c:v>
                </c:pt>
                <c:pt idx="32">
                  <c:v>-6.4314427998047582E-2</c:v>
                </c:pt>
                <c:pt idx="33">
                  <c:v>-5.704557258407833E-2</c:v>
                </c:pt>
                <c:pt idx="34">
                  <c:v>-5.6720267458479884E-2</c:v>
                </c:pt>
                <c:pt idx="35">
                  <c:v>-5.5539638346727899E-2</c:v>
                </c:pt>
                <c:pt idx="36">
                  <c:v>-5.4918508447364886E-2</c:v>
                </c:pt>
                <c:pt idx="37">
                  <c:v>-5.1121033682557562E-2</c:v>
                </c:pt>
                <c:pt idx="38">
                  <c:v>-4.9386818044706265E-2</c:v>
                </c:pt>
                <c:pt idx="39">
                  <c:v>-4.7657715521035988E-2</c:v>
                </c:pt>
                <c:pt idx="40">
                  <c:v>-4.7635172940253163E-2</c:v>
                </c:pt>
                <c:pt idx="41">
                  <c:v>-4.7307664645568473E-2</c:v>
                </c:pt>
                <c:pt idx="42">
                  <c:v>-4.6537904581136394E-2</c:v>
                </c:pt>
                <c:pt idx="43">
                  <c:v>-4.4769447811710959E-2</c:v>
                </c:pt>
                <c:pt idx="44">
                  <c:v>-3.9423272751592478E-2</c:v>
                </c:pt>
                <c:pt idx="45">
                  <c:v>-3.752516785626199E-2</c:v>
                </c:pt>
                <c:pt idx="46">
                  <c:v>-3.7128712871287127E-2</c:v>
                </c:pt>
                <c:pt idx="47">
                  <c:v>-3.512256004641609E-2</c:v>
                </c:pt>
                <c:pt idx="48">
                  <c:v>-3.3137040026523894E-2</c:v>
                </c:pt>
                <c:pt idx="49">
                  <c:v>-3.2956053403696041E-2</c:v>
                </c:pt>
                <c:pt idx="50">
                  <c:v>-2.80460891243378E-2</c:v>
                </c:pt>
                <c:pt idx="51">
                  <c:v>-2.3564994015508801E-2</c:v>
                </c:pt>
                <c:pt idx="52">
                  <c:v>-2.2998254322790766E-2</c:v>
                </c:pt>
                <c:pt idx="53">
                  <c:v>-1.81181790499391E-2</c:v>
                </c:pt>
                <c:pt idx="54">
                  <c:v>-9.8125459961450855E-3</c:v>
                </c:pt>
                <c:pt idx="55">
                  <c:v>-5.8868590960881127E-3</c:v>
                </c:pt>
                <c:pt idx="56">
                  <c:v>-5.4880178425195068E-3</c:v>
                </c:pt>
                <c:pt idx="57">
                  <c:v>-5.1836347089885089E-3</c:v>
                </c:pt>
                <c:pt idx="58">
                  <c:v>-5.1575169114619641E-3</c:v>
                </c:pt>
                <c:pt idx="59">
                  <c:v>-2.8046022988505747E-3</c:v>
                </c:pt>
                <c:pt idx="60">
                  <c:v>-2.0070747280970945E-3</c:v>
                </c:pt>
                <c:pt idx="61">
                  <c:v>-9.861791637286912E-4</c:v>
                </c:pt>
                <c:pt idx="62">
                  <c:v>6.6947280334728036E-4</c:v>
                </c:pt>
                <c:pt idx="63">
                  <c:v>2.3251516846977695E-3</c:v>
                </c:pt>
                <c:pt idx="64">
                  <c:v>5.5185728928367822E-3</c:v>
                </c:pt>
                <c:pt idx="65">
                  <c:v>1.3033978528820473E-2</c:v>
                </c:pt>
                <c:pt idx="66">
                  <c:v>1.5531904255319149E-2</c:v>
                </c:pt>
                <c:pt idx="67">
                  <c:v>2.5322865265998213E-2</c:v>
                </c:pt>
                <c:pt idx="68">
                  <c:v>3.5575255028577252E-2</c:v>
                </c:pt>
                <c:pt idx="69">
                  <c:v>3.7005103010464058E-2</c:v>
                </c:pt>
                <c:pt idx="70">
                  <c:v>3.8742814785530738E-2</c:v>
                </c:pt>
                <c:pt idx="71">
                  <c:v>4.0460768009115564E-2</c:v>
                </c:pt>
                <c:pt idx="72">
                  <c:v>4.4156583818085668E-2</c:v>
                </c:pt>
                <c:pt idx="73">
                  <c:v>4.6752094567311706E-2</c:v>
                </c:pt>
                <c:pt idx="74">
                  <c:v>5.8377308707124008E-2</c:v>
                </c:pt>
                <c:pt idx="75">
                  <c:v>5.876054800385315E-2</c:v>
                </c:pt>
                <c:pt idx="76">
                  <c:v>5.9304728893648212E-2</c:v>
                </c:pt>
                <c:pt idx="77">
                  <c:v>6.1776084551181568E-2</c:v>
                </c:pt>
                <c:pt idx="78">
                  <c:v>6.339717855017174E-2</c:v>
                </c:pt>
                <c:pt idx="79">
                  <c:v>6.6615194697524721E-2</c:v>
                </c:pt>
                <c:pt idx="80">
                  <c:v>7.3291174958374214E-2</c:v>
                </c:pt>
                <c:pt idx="81">
                  <c:v>7.7511802425764095E-2</c:v>
                </c:pt>
                <c:pt idx="82">
                  <c:v>7.9909730923470229E-2</c:v>
                </c:pt>
                <c:pt idx="83">
                  <c:v>8.7278569638601283E-2</c:v>
                </c:pt>
                <c:pt idx="84">
                  <c:v>9.0405867158671591E-2</c:v>
                </c:pt>
                <c:pt idx="85">
                  <c:v>9.2515096553752951E-2</c:v>
                </c:pt>
                <c:pt idx="86">
                  <c:v>9.5043515930187478E-2</c:v>
                </c:pt>
                <c:pt idx="87">
                  <c:v>9.8415530050981248E-2</c:v>
                </c:pt>
                <c:pt idx="88">
                  <c:v>0.10055192105384679</c:v>
                </c:pt>
                <c:pt idx="89">
                  <c:v>0.10410392799708559</c:v>
                </c:pt>
                <c:pt idx="90">
                  <c:v>0.112232658889193</c:v>
                </c:pt>
                <c:pt idx="91">
                  <c:v>0.12831154099203079</c:v>
                </c:pt>
                <c:pt idx="92">
                  <c:v>0.12935569226271096</c:v>
                </c:pt>
                <c:pt idx="93">
                  <c:v>0.13163333680852279</c:v>
                </c:pt>
                <c:pt idx="94">
                  <c:v>0.13279821233126596</c:v>
                </c:pt>
                <c:pt idx="95">
                  <c:v>0.15021041033037247</c:v>
                </c:pt>
                <c:pt idx="96">
                  <c:v>0.16030772169580887</c:v>
                </c:pt>
                <c:pt idx="97">
                  <c:v>0.16445872445117335</c:v>
                </c:pt>
                <c:pt idx="98">
                  <c:v>0.16775792488968058</c:v>
                </c:pt>
                <c:pt idx="99">
                  <c:v>0.18520293126042098</c:v>
                </c:pt>
                <c:pt idx="100">
                  <c:v>0.18566001935790197</c:v>
                </c:pt>
                <c:pt idx="101">
                  <c:v>0.18902800260329949</c:v>
                </c:pt>
                <c:pt idx="102">
                  <c:v>0.18919985298646888</c:v>
                </c:pt>
                <c:pt idx="103">
                  <c:v>0.19147435684112946</c:v>
                </c:pt>
                <c:pt idx="104">
                  <c:v>0.19485612042597819</c:v>
                </c:pt>
                <c:pt idx="105">
                  <c:v>0.20303028282828284</c:v>
                </c:pt>
                <c:pt idx="106">
                  <c:v>0.2204658008744925</c:v>
                </c:pt>
                <c:pt idx="107">
                  <c:v>0.22288419484843175</c:v>
                </c:pt>
                <c:pt idx="108">
                  <c:v>0.23645937220513108</c:v>
                </c:pt>
                <c:pt idx="109">
                  <c:v>0.25118135417014059</c:v>
                </c:pt>
                <c:pt idx="110">
                  <c:v>0.25277600306700193</c:v>
                </c:pt>
                <c:pt idx="111">
                  <c:v>0.28591699944375665</c:v>
                </c:pt>
                <c:pt idx="112">
                  <c:v>0.28614605014518973</c:v>
                </c:pt>
                <c:pt idx="113">
                  <c:v>0.28617531080317254</c:v>
                </c:pt>
                <c:pt idx="114">
                  <c:v>0.30321486643705131</c:v>
                </c:pt>
                <c:pt idx="115">
                  <c:v>0.31495478768677287</c:v>
                </c:pt>
                <c:pt idx="116">
                  <c:v>0.33497076023391814</c:v>
                </c:pt>
                <c:pt idx="117">
                  <c:v>0.41186200378071836</c:v>
                </c:pt>
                <c:pt idx="118">
                  <c:v>0.45559962376044139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7-4FE0-98E6-AADE6F209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041759"/>
        <c:axId val="705532991"/>
      </c:scatterChart>
      <c:valAx>
        <c:axId val="46704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Percentile campionaria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532991"/>
        <c:crosses val="autoZero"/>
        <c:crossBetween val="midCat"/>
      </c:valAx>
      <c:valAx>
        <c:axId val="705532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70417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46</xdr:row>
      <xdr:rowOff>156210</xdr:rowOff>
    </xdr:from>
    <xdr:to>
      <xdr:col>8</xdr:col>
      <xdr:colOff>7620</xdr:colOff>
      <xdr:row>67</xdr:row>
      <xdr:rowOff>121920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619AB6A-D9C9-4D98-ACBA-B5494FF29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15</xdr:row>
      <xdr:rowOff>0</xdr:rowOff>
    </xdr:from>
    <xdr:to>
      <xdr:col>16</xdr:col>
      <xdr:colOff>518160</xdr:colOff>
      <xdr:row>26</xdr:row>
      <xdr:rowOff>16213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3294D8A3-A71E-497B-899C-A75D0CA4E44A}"/>
                </a:ext>
              </a:extLst>
            </xdr:cNvPr>
            <xdr:cNvSpPr txBox="1"/>
          </xdr:nvSpPr>
          <xdr:spPr>
            <a:xfrm>
              <a:off x="11379903" y="2796702"/>
              <a:ext cx="4216129" cy="206712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  <m:sup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sup>
                    </m:sSup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sSup>
                      <m:sSup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^</m:t>
                        </m:r>
                      </m:e>
                      <m:sup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</m:oMath>
                </m:oMathPara>
              </a14:m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i="1">
                        <a:effectLst/>
                        <a:latin typeface="Cambria Math" panose="02040503050406030204" pitchFamily="18" charset="0"/>
                      </a:rPr>
                      <m:t>𝐴</m:t>
                    </m:r>
                    <m:r>
                      <a:rPr lang="it-IT" i="1">
                        <a:effectLst/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  <m:sup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sup>
                    </m:sSup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sSup>
                      <m:sSup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^</m:t>
                        </m:r>
                      </m:e>
                      <m:sup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𝑧</m:t>
                    </m:r>
                  </m:oMath>
                </m:oMathPara>
              </a14:m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b="0" i="1">
                        <a:effectLst/>
                        <a:latin typeface="Cambria Math" panose="02040503050406030204" pitchFamily="18" charset="0"/>
                      </a:rPr>
                      <m:t>𝐵</m:t>
                    </m:r>
                    <m:r>
                      <a:rPr lang="it-IT" i="1">
                        <a:effectLst/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𝑧</m:t>
                        </m:r>
                      </m:e>
                      <m:sup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sup>
                    </m:sSup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sSup>
                      <m:sSup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^</m:t>
                        </m:r>
                      </m:e>
                      <m:sup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𝑧</m:t>
                    </m:r>
                  </m:oMath>
                </m:oMathPara>
              </a14:m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d>
                          <m:dPr>
                            <m:ctrlP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sSup>
                              <m:sSupPr>
                                <m:ctrlP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^</m:t>
                                </m:r>
                              </m:e>
                              <m:sup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</m:d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  <m:d>
                          <m:dPr>
                            <m:ctrlP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sSup>
                              <m:sSupPr>
                                <m:ctrlP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^</m:t>
                                </m:r>
                              </m:e>
                              <m:sup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</m:t>
                            </m:r>
                          </m:e>
                        </m:d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num>
                      <m:den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h</m:t>
                    </m:r>
                    <m:r>
                      <a:rPr lang="it-IT" sz="1100" b="0" i="1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d>
                          <m:dPr>
                            <m:ctrlP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sSup>
                              <m:sSupPr>
                                <m:ctrlP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^</m:t>
                                </m:r>
                              </m:e>
                              <m:sup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</m:t>
                            </m:r>
                          </m:e>
                        </m:d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  <m:d>
                          <m:dPr>
                            <m:ctrlP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  <m:sSup>
                              <m:sSupPr>
                                <m:ctrlP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^</m:t>
                                </m:r>
                              </m:e>
                              <m:sup>
                                <m:r>
                                  <a:rPr lang="it-IT" sz="1100" b="0" i="1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p>
                            </m:sSup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e>
                        </m:d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num>
                      <m:den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it-IT" b="0" i="0">
                        <a:effectLst/>
                        <a:latin typeface="Cambria Math" panose="02040503050406030204" pitchFamily="18" charset="0"/>
                      </a:rPr>
                      <m:t>w</m:t>
                    </m:r>
                    <m:r>
                      <a:rPr lang="it-IT" i="1">
                        <a:effectLst/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b="0" i="1">
                        <a:effectLst/>
                        <a:latin typeface="Cambria Math" panose="02040503050406030204" pitchFamily="18" charset="0"/>
                      </a:rPr>
                      <m:t>𝑔</m:t>
                    </m:r>
                    <m:r>
                      <a:rPr lang="it-IT" b="0" i="1">
                        <a:effectLst/>
                        <a:latin typeface="Cambria Math" panose="02040503050406030204" pitchFamily="18" charset="0"/>
                      </a:rPr>
                      <m:t>+</m:t>
                    </m:r>
                    <m:r>
                      <a:rPr lang="it-IT" b="0" i="1">
                        <a:effectLst/>
                        <a:latin typeface="Cambria Math" panose="02040503050406030204" pitchFamily="18" charset="0"/>
                      </a:rPr>
                      <m:t>h</m:t>
                    </m:r>
                    <m:r>
                      <a:rPr lang="it-IT" b="0" i="1">
                        <a:effectLst/>
                        <a:latin typeface="Cambria Math" panose="02040503050406030204" pitchFamily="18" charset="0"/>
                      </a:rPr>
                      <m:t>∗</m:t>
                    </m:r>
                    <m:r>
                      <a:rPr lang="it-IT" b="0" i="1">
                        <a:effectLst/>
                        <a:latin typeface="Cambria Math" panose="02040503050406030204" pitchFamily="18" charset="0"/>
                      </a:rPr>
                      <m:t>𝐸𝑝</m:t>
                    </m:r>
                  </m:oMath>
                </m:oMathPara>
              </a14:m>
              <a:endParaRPr lang="it-IT" b="0">
                <a:effectLst/>
              </a:endParaRPr>
            </a:p>
            <a:p>
              <a:r>
                <a:rPr lang="it-IT" b="0">
                  <a:effectLst/>
                </a:rPr>
                <a:t>Dove:</a:t>
              </a:r>
              <a:endParaRPr lang="it-IT">
                <a:effectLst/>
              </a:endParaRPr>
            </a:p>
            <a:p>
              <a:r>
                <a:rPr lang="it-IT">
                  <a:effectLst/>
                </a:rPr>
                <a:t>z'=</a:t>
              </a:r>
              <a:r>
                <a:rPr lang="it-IT" baseline="0">
                  <a:effectLst/>
                </a:rPr>
                <a:t> vettore trasposto dei rendimenti attesi</a:t>
              </a:r>
            </a:p>
            <a:p>
              <a:r>
                <a:rPr lang="it-IT" baseline="0">
                  <a:effectLst/>
                </a:rPr>
                <a:t>v^-1: matrice varianza covarianza inversa</a:t>
              </a:r>
            </a:p>
          </xdr:txBody>
        </xdr:sp>
      </mc:Choice>
      <mc:Fallback xmlns="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3294D8A3-A71E-497B-899C-A75D0CA4E44A}"/>
                </a:ext>
              </a:extLst>
            </xdr:cNvPr>
            <xdr:cNvSpPr txBox="1"/>
          </xdr:nvSpPr>
          <xdr:spPr>
            <a:xfrm>
              <a:off x="11379903" y="2796702"/>
              <a:ext cx="4216129" cy="206712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it-IT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𝐶=1^′ 𝑉^^(−1) 1</a:t>
              </a:r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it-IT" i="0">
                  <a:effectLst/>
                  <a:latin typeface="Cambria Math" panose="02040503050406030204" pitchFamily="18" charset="0"/>
                </a:rPr>
                <a:t>𝐴=</a:t>
              </a:r>
              <a:r>
                <a:rPr lang="it-IT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1^′ 𝑉^^(−1) 𝑧</a:t>
              </a:r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it-IT" b="0" i="0">
                  <a:effectLst/>
                  <a:latin typeface="Cambria Math" panose="02040503050406030204" pitchFamily="18" charset="0"/>
                </a:rPr>
                <a:t>𝐵</a:t>
              </a:r>
              <a:r>
                <a:rPr lang="it-IT" i="0">
                  <a:effectLst/>
                  <a:latin typeface="Cambria Math" panose="02040503050406030204" pitchFamily="18" charset="0"/>
                </a:rPr>
                <a:t>=</a:t>
              </a:r>
              <a:r>
                <a:rPr lang="it-IT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𝑧^′ 𝑉^^(−1) 𝑧</a:t>
              </a:r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it-IT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𝑔=([𝐵(𝑉^^(−1) 1)−𝐴(𝑉^^(−1) 𝑧)])/𝐷</a:t>
              </a:r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it-IT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ℎ=([𝐶(𝑉^^(−1) 𝑧)−𝐴(𝑉^^(−1) 1)])/𝐷</a:t>
              </a:r>
              <a:endParaRPr lang="it-IT" sz="1100" b="0" baseline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it-IT" b="0" i="0">
                  <a:effectLst/>
                  <a:latin typeface="Cambria Math" panose="02040503050406030204" pitchFamily="18" charset="0"/>
                </a:rPr>
                <a:t>w</a:t>
              </a:r>
              <a:r>
                <a:rPr lang="it-IT" i="0">
                  <a:effectLst/>
                  <a:latin typeface="Cambria Math" panose="02040503050406030204" pitchFamily="18" charset="0"/>
                </a:rPr>
                <a:t>=</a:t>
              </a:r>
              <a:r>
                <a:rPr lang="it-IT" b="0" i="0">
                  <a:effectLst/>
                  <a:latin typeface="Cambria Math" panose="02040503050406030204" pitchFamily="18" charset="0"/>
                </a:rPr>
                <a:t>𝑔+ℎ∗𝐸𝑝</a:t>
              </a:r>
              <a:endParaRPr lang="it-IT" b="0">
                <a:effectLst/>
              </a:endParaRPr>
            </a:p>
            <a:p>
              <a:r>
                <a:rPr lang="it-IT" b="0">
                  <a:effectLst/>
                </a:rPr>
                <a:t>Dove:</a:t>
              </a:r>
              <a:endParaRPr lang="it-IT">
                <a:effectLst/>
              </a:endParaRPr>
            </a:p>
            <a:p>
              <a:r>
                <a:rPr lang="it-IT">
                  <a:effectLst/>
                </a:rPr>
                <a:t>z'=</a:t>
              </a:r>
              <a:r>
                <a:rPr lang="it-IT" baseline="0">
                  <a:effectLst/>
                </a:rPr>
                <a:t> vettore trasposto dei rendimenti attesi</a:t>
              </a:r>
            </a:p>
            <a:p>
              <a:r>
                <a:rPr lang="it-IT" baseline="0">
                  <a:effectLst/>
                </a:rPr>
                <a:t>v^-1: matrice varianza covarianza inversa</a:t>
              </a:r>
            </a:p>
          </xdr:txBody>
        </xdr:sp>
      </mc:Fallback>
    </mc:AlternateContent>
    <xdr:clientData/>
  </xdr:twoCellAnchor>
  <xdr:twoCellAnchor>
    <xdr:from>
      <xdr:col>5</xdr:col>
      <xdr:colOff>787461</xdr:colOff>
      <xdr:row>76</xdr:row>
      <xdr:rowOff>25296</xdr:rowOff>
    </xdr:from>
    <xdr:to>
      <xdr:col>11</xdr:col>
      <xdr:colOff>480145</xdr:colOff>
      <xdr:row>91</xdr:row>
      <xdr:rowOff>25297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A1369E3-E94C-4ED0-8304-B3A4F2959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494489</xdr:colOff>
      <xdr:row>75</xdr:row>
      <xdr:rowOff>55124</xdr:rowOff>
    </xdr:from>
    <xdr:to>
      <xdr:col>4</xdr:col>
      <xdr:colOff>891702</xdr:colOff>
      <xdr:row>91</xdr:row>
      <xdr:rowOff>56744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5B995ED-F914-4321-B43B-2587FB3BF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567445</xdr:colOff>
      <xdr:row>61</xdr:row>
      <xdr:rowOff>32425</xdr:rowOff>
    </xdr:from>
    <xdr:to>
      <xdr:col>13</xdr:col>
      <xdr:colOff>470170</xdr:colOff>
      <xdr:row>71</xdr:row>
      <xdr:rowOff>72958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sellaDiTesto 4">
              <a:extLst>
                <a:ext uri="{FF2B5EF4-FFF2-40B4-BE49-F238E27FC236}">
                  <a16:creationId xmlns:a16="http://schemas.microsoft.com/office/drawing/2014/main" id="{8C31C38A-04DA-908E-FB84-784FEE56B33F}"/>
                </a:ext>
              </a:extLst>
            </xdr:cNvPr>
            <xdr:cNvSpPr txBox="1"/>
          </xdr:nvSpPr>
          <xdr:spPr>
            <a:xfrm>
              <a:off x="11778573" y="11632659"/>
              <a:ext cx="2326533" cy="19050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t-I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sSubSup>
                          <m:sSubSup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sub>
                          <m:sup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−2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sSub>
                          <m:sSub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sub>
                        </m:s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it-IT" sz="1100"/>
            </a:p>
            <a:p>
              <a:pPr algn="ctr"/>
              <a:r>
                <a:rPr lang="it-IT" sz="1100"/>
                <a:t>	</a:t>
              </a:r>
            </a:p>
            <a:p>
              <a:pPr algn="ctr"/>
              <a:r>
                <a:rPr lang="it-IT" sz="1100"/>
                <a:t>Valori</a:t>
              </a:r>
              <a:r>
                <a:rPr lang="it-IT" sz="1100" baseline="0"/>
                <a:t> su assi: </a:t>
              </a:r>
            </a:p>
            <a:p>
              <a:pPr algn="ctr"/>
              <a:endParaRPr lang="it-IT" sz="1100" baseline="0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it-IT" sz="1100" b="0" i="0" baseline="0">
                        <a:latin typeface="Cambria Math" panose="02040503050406030204" pitchFamily="18" charset="0"/>
                      </a:rPr>
                      <m:t>x</m:t>
                    </m:r>
                    <m:r>
                      <a:rPr lang="it-IT" sz="1100" i="1" baseline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t-IT" sz="1100" i="1" baseline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100" b="0" i="1" baseline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it-IT" sz="1100" i="1" baseline="0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it-IT" sz="1100" b="0" i="1" baseline="0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it-IT" sz="1100"/>
            </a:p>
            <a:p>
              <a:pPr algn="ctr"/>
              <a:endParaRPr lang="it-IT" sz="1100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it-IT" sz="1100" b="0" i="0">
                        <a:latin typeface="Cambria Math" panose="02040503050406030204" pitchFamily="18" charset="0"/>
                      </a:rPr>
                      <m:t>y</m:t>
                    </m:r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num>
                      <m:den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it-IT" sz="1100"/>
            </a:p>
            <a:p>
              <a:pPr algn="ctr"/>
              <a:r>
                <a:rPr lang="it-IT" sz="1100"/>
                <a:t>	 </a:t>
              </a:r>
            </a:p>
          </xdr:txBody>
        </xdr:sp>
      </mc:Choice>
      <mc:Fallback xmlns="">
        <xdr:sp macro="" textlink="">
          <xdr:nvSpPr>
            <xdr:cNvPr id="5" name="CasellaDiTesto 4">
              <a:extLst>
                <a:ext uri="{FF2B5EF4-FFF2-40B4-BE49-F238E27FC236}">
                  <a16:creationId xmlns:a16="http://schemas.microsoft.com/office/drawing/2014/main" id="{8C31C38A-04DA-908E-FB84-784FEE56B33F}"/>
                </a:ext>
              </a:extLst>
            </xdr:cNvPr>
            <xdr:cNvSpPr txBox="1"/>
          </xdr:nvSpPr>
          <xdr:spPr>
            <a:xfrm>
              <a:off x="11778573" y="11632659"/>
              <a:ext cx="2326533" cy="19050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>
                  <a:latin typeface="Cambria Math" panose="02040503050406030204" pitchFamily="18" charset="0"/>
                </a:rPr>
                <a:t>𝑃^2</a:t>
              </a:r>
              <a:r>
                <a:rPr lang="it-IT" sz="1100" i="0">
                  <a:latin typeface="Cambria Math" panose="02040503050406030204" pitchFamily="18" charset="0"/>
                </a:rPr>
                <a:t>=</a:t>
              </a:r>
              <a:r>
                <a:rPr lang="el-GR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(𝐶𝐸_𝑃^2−2𝐴𝐸_𝑃+𝐵)</a:t>
              </a:r>
              <a:r>
                <a:rPr lang="el-GR" sz="1100" b="0" i="0">
                  <a:latin typeface="Cambria Math" panose="02040503050406030204" pitchFamily="18" charset="0"/>
                </a:rPr>
                <a:t>)/</a:t>
              </a:r>
              <a:r>
                <a:rPr lang="it-IT" sz="1100" b="0" i="0">
                  <a:latin typeface="Cambria Math" panose="02040503050406030204" pitchFamily="18" charset="0"/>
                </a:rPr>
                <a:t>𝐷</a:t>
              </a:r>
              <a:endParaRPr lang="it-IT" sz="1100"/>
            </a:p>
            <a:p>
              <a:pPr algn="ctr"/>
              <a:r>
                <a:rPr lang="it-IT" sz="1100"/>
                <a:t>	</a:t>
              </a:r>
            </a:p>
            <a:p>
              <a:pPr algn="ctr"/>
              <a:r>
                <a:rPr lang="it-IT" sz="1100"/>
                <a:t>Valori</a:t>
              </a:r>
              <a:r>
                <a:rPr lang="it-IT" sz="1100" baseline="0"/>
                <a:t> su assi: </a:t>
              </a:r>
            </a:p>
            <a:p>
              <a:pPr algn="ctr"/>
              <a:endParaRPr lang="it-IT" sz="1100" baseline="0"/>
            </a:p>
            <a:p>
              <a:pPr algn="ctr"/>
              <a:r>
                <a:rPr lang="it-IT" sz="1100" b="0" i="0" baseline="0">
                  <a:latin typeface="Cambria Math" panose="02040503050406030204" pitchFamily="18" charset="0"/>
                </a:rPr>
                <a:t>x</a:t>
              </a:r>
              <a:r>
                <a:rPr lang="it-IT" sz="1100" i="0" baseline="0">
                  <a:latin typeface="Cambria Math" panose="02040503050406030204" pitchFamily="18" charset="0"/>
                </a:rPr>
                <a:t>=</a:t>
              </a:r>
              <a:r>
                <a:rPr lang="it-IT" sz="1100" b="0" i="0" baseline="0">
                  <a:latin typeface="Cambria Math" panose="02040503050406030204" pitchFamily="18" charset="0"/>
                </a:rPr>
                <a:t>1/√𝐶</a:t>
              </a:r>
              <a:endParaRPr lang="it-IT" sz="1100"/>
            </a:p>
            <a:p>
              <a:pPr algn="ctr"/>
              <a:endParaRPr lang="it-IT" sz="1100"/>
            </a:p>
            <a:p>
              <a:pPr algn="ctr"/>
              <a:r>
                <a:rPr lang="it-IT" sz="1100" b="0" i="0">
                  <a:latin typeface="Cambria Math" panose="02040503050406030204" pitchFamily="18" charset="0"/>
                </a:rPr>
                <a:t>y</a:t>
              </a:r>
              <a:r>
                <a:rPr lang="it-IT" sz="1100" i="0">
                  <a:latin typeface="Cambria Math" panose="02040503050406030204" pitchFamily="18" charset="0"/>
                </a:rPr>
                <a:t>=</a:t>
              </a:r>
              <a:r>
                <a:rPr lang="it-IT" sz="1100" b="0" i="0">
                  <a:latin typeface="Cambria Math" panose="02040503050406030204" pitchFamily="18" charset="0"/>
                </a:rPr>
                <a:t>𝐴/𝐶</a:t>
              </a:r>
              <a:endParaRPr lang="it-IT" sz="1100"/>
            </a:p>
            <a:p>
              <a:pPr algn="ctr"/>
              <a:r>
                <a:rPr lang="it-IT" sz="1100"/>
                <a:t>	 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49</xdr:row>
      <xdr:rowOff>163830</xdr:rowOff>
    </xdr:from>
    <xdr:to>
      <xdr:col>4</xdr:col>
      <xdr:colOff>594360</xdr:colOff>
      <xdr:row>71</xdr:row>
      <xdr:rowOff>30480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5F28886-B66E-457C-9103-10D45A215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1013460</xdr:colOff>
      <xdr:row>49</xdr:row>
      <xdr:rowOff>38100</xdr:rowOff>
    </xdr:from>
    <xdr:to>
      <xdr:col>14</xdr:col>
      <xdr:colOff>251460</xdr:colOff>
      <xdr:row>70</xdr:row>
      <xdr:rowOff>3810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C0A4232B-0D7D-402F-98FA-25A10525E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1798320</xdr:colOff>
      <xdr:row>47</xdr:row>
      <xdr:rowOff>64770</xdr:rowOff>
    </xdr:from>
    <xdr:to>
      <xdr:col>6</xdr:col>
      <xdr:colOff>1188720</xdr:colOff>
      <xdr:row>68</xdr:row>
      <xdr:rowOff>30480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2D61C4C-8F54-4575-9145-744E6116E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906780</xdr:colOff>
      <xdr:row>44</xdr:row>
      <xdr:rowOff>30480</xdr:rowOff>
    </xdr:from>
    <xdr:to>
      <xdr:col>12</xdr:col>
      <xdr:colOff>510540</xdr:colOff>
      <xdr:row>65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630144C-BF04-4AD4-A1C4-74CA485B6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52</xdr:row>
      <xdr:rowOff>15240</xdr:rowOff>
    </xdr:from>
    <xdr:to>
      <xdr:col>8</xdr:col>
      <xdr:colOff>449580</xdr:colOff>
      <xdr:row>72</xdr:row>
      <xdr:rowOff>163830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CFEBB38-3AAC-4ECB-995E-51AC292B8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55</xdr:row>
      <xdr:rowOff>30480</xdr:rowOff>
    </xdr:from>
    <xdr:to>
      <xdr:col>9</xdr:col>
      <xdr:colOff>868680</xdr:colOff>
      <xdr:row>77</xdr:row>
      <xdr:rowOff>121920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1866E62-F24E-4237-960B-07895BB5B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937260</xdr:colOff>
      <xdr:row>50</xdr:row>
      <xdr:rowOff>95250</xdr:rowOff>
    </xdr:from>
    <xdr:to>
      <xdr:col>11</xdr:col>
      <xdr:colOff>525780</xdr:colOff>
      <xdr:row>67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7891B01-5768-457A-A24C-E19051623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1089660</xdr:colOff>
      <xdr:row>35</xdr:row>
      <xdr:rowOff>137160</xdr:rowOff>
    </xdr:from>
    <xdr:ext cx="65" cy="172227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D702BCF8-3AD8-8F65-C58B-C2960489930C}"/>
            </a:ext>
          </a:extLst>
        </xdr:cNvPr>
        <xdr:cNvSpPr txBox="1"/>
      </xdr:nvSpPr>
      <xdr:spPr>
        <a:xfrm>
          <a:off x="6629400" y="7086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11</xdr:col>
      <xdr:colOff>60960</xdr:colOff>
      <xdr:row>39</xdr:row>
      <xdr:rowOff>7620</xdr:rowOff>
    </xdr:from>
    <xdr:to>
      <xdr:col>12</xdr:col>
      <xdr:colOff>403860</xdr:colOff>
      <xdr:row>42</xdr:row>
      <xdr:rowOff>121920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sellaDiTesto 4">
              <a:extLst>
                <a:ext uri="{FF2B5EF4-FFF2-40B4-BE49-F238E27FC236}">
                  <a16:creationId xmlns:a16="http://schemas.microsoft.com/office/drawing/2014/main" id="{0BBDF8D2-CEB0-360A-5D92-F12A8616CC85}"/>
                </a:ext>
              </a:extLst>
            </xdr:cNvPr>
            <xdr:cNvSpPr txBox="1"/>
          </xdr:nvSpPr>
          <xdr:spPr>
            <a:xfrm>
              <a:off x="12138660" y="7871460"/>
              <a:ext cx="1501140" cy="6629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latin typeface="Cambria Math" panose="02040503050406030204" pitchFamily="18" charset="0"/>
                      </a:rPr>
                      <m:t>𝑆h𝑎𝑟𝑝𝑒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𝑅𝑎𝑡𝑖𝑜</m:t>
                    </m:r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it-IT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it-IT" sz="11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sub>
                            </m:sSub>
                          </m:e>
                        </m:d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it-IT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5" name="CasellaDiTesto 4">
              <a:extLst>
                <a:ext uri="{FF2B5EF4-FFF2-40B4-BE49-F238E27FC236}">
                  <a16:creationId xmlns:a16="http://schemas.microsoft.com/office/drawing/2014/main" id="{0BBDF8D2-CEB0-360A-5D92-F12A8616CC85}"/>
                </a:ext>
              </a:extLst>
            </xdr:cNvPr>
            <xdr:cNvSpPr txBox="1"/>
          </xdr:nvSpPr>
          <xdr:spPr>
            <a:xfrm>
              <a:off x="12138660" y="7871460"/>
              <a:ext cx="1501140" cy="6629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𝑆ℎ𝑎𝑟𝑝𝑒 𝑅𝑎𝑡𝑖𝑜</a:t>
              </a:r>
              <a:r>
                <a:rPr lang="it-IT" sz="1100" i="0">
                  <a:latin typeface="Cambria Math" panose="02040503050406030204" pitchFamily="18" charset="0"/>
                </a:rPr>
                <a:t>=(</a:t>
              </a:r>
              <a:r>
                <a:rPr lang="it-IT" sz="1100" b="0" i="0">
                  <a:latin typeface="Cambria Math" panose="02040503050406030204" pitchFamily="18" charset="0"/>
                </a:rPr>
                <a:t>𝐸(𝑟_𝑃 )−𝑟_𝑓)/</a:t>
              </a:r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>
                  <a:latin typeface="Cambria Math" panose="02040503050406030204" pitchFamily="18" charset="0"/>
                </a:rPr>
                <a:t>𝑃 </a:t>
              </a:r>
              <a:endParaRPr lang="it-IT" sz="1100"/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49</xdr:row>
      <xdr:rowOff>3810</xdr:rowOff>
    </xdr:from>
    <xdr:to>
      <xdr:col>16</xdr:col>
      <xdr:colOff>274320</xdr:colOff>
      <xdr:row>67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25DF5E8-8FDC-4B8D-A15B-B1AD6F574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68</xdr:row>
      <xdr:rowOff>15240</xdr:rowOff>
    </xdr:from>
    <xdr:to>
      <xdr:col>13</xdr:col>
      <xdr:colOff>121920</xdr:colOff>
      <xdr:row>72</xdr:row>
      <xdr:rowOff>144780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16E2AC1D-0BCA-4113-A5FD-E56FC8AB9BA2}"/>
                </a:ext>
              </a:extLst>
            </xdr:cNvPr>
            <xdr:cNvSpPr txBox="1"/>
          </xdr:nvSpPr>
          <xdr:spPr>
            <a:xfrm>
              <a:off x="10210800" y="13213080"/>
              <a:ext cx="2758440" cy="86106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PORTAFOGLIO OTTIMO: </a:t>
              </a:r>
            </a:p>
            <a:p>
              <a:endParaRPr lang="it-IT" sz="11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𝑅𝑝</m:t>
                            </m:r>
                          </m:e>
                        </m:d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𝑅𝑓</m:t>
                        </m:r>
                      </m:num>
                      <m:den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sSup>
                          <m:sSupPr>
                            <m:ctrlPr>
                              <a:rPr lang="it-IT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p>
                            <m:r>
                              <a:rPr lang="it-IT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16E2AC1D-0BCA-4113-A5FD-E56FC8AB9BA2}"/>
                </a:ext>
              </a:extLst>
            </xdr:cNvPr>
            <xdr:cNvSpPr txBox="1"/>
          </xdr:nvSpPr>
          <xdr:spPr>
            <a:xfrm>
              <a:off x="10210800" y="13213080"/>
              <a:ext cx="2758440" cy="86106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100"/>
                <a:t>PORTAFOGLIO OTTIMO: </a:t>
              </a:r>
            </a:p>
            <a:p>
              <a:endParaRPr lang="it-IT" sz="1100"/>
            </a:p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it-IT" sz="1100" i="0">
                  <a:latin typeface="Cambria Math" panose="02040503050406030204" pitchFamily="18" charset="0"/>
                </a:rPr>
                <a:t>=</a:t>
              </a:r>
              <a:r>
                <a:rPr lang="el-GR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𝐸[𝑅𝑝]−𝑅𝑓</a:t>
              </a:r>
              <a:r>
                <a:rPr lang="el-GR" sz="1100" b="0" i="0">
                  <a:latin typeface="Cambria Math" panose="02040503050406030204" pitchFamily="18" charset="0"/>
                </a:rPr>
                <a:t>)/(</a:t>
              </a:r>
              <a:r>
                <a:rPr lang="it-IT" sz="1100" b="0" i="0">
                  <a:latin typeface="Cambria Math" panose="02040503050406030204" pitchFamily="18" charset="0"/>
                </a:rPr>
                <a:t>𝐴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𝜎^2 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it-IT" sz="1100"/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14</xdr:row>
      <xdr:rowOff>160020</xdr:rowOff>
    </xdr:from>
    <xdr:to>
      <xdr:col>1</xdr:col>
      <xdr:colOff>548640</xdr:colOff>
      <xdr:row>21</xdr:row>
      <xdr:rowOff>152400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sellaDiTesto 3">
              <a:extLst>
                <a:ext uri="{FF2B5EF4-FFF2-40B4-BE49-F238E27FC236}">
                  <a16:creationId xmlns:a16="http://schemas.microsoft.com/office/drawing/2014/main" id="{90F735ED-EE1C-0C81-2CDA-2E9DF9ED7563}"/>
                </a:ext>
              </a:extLst>
            </xdr:cNvPr>
            <xdr:cNvSpPr txBox="1"/>
          </xdr:nvSpPr>
          <xdr:spPr>
            <a:xfrm>
              <a:off x="251460" y="2735580"/>
              <a:ext cx="1767840" cy="12725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1100"/>
                <a:t>FORMULA</a:t>
              </a:r>
              <a:r>
                <a:rPr lang="it-IT" sz="1100" baseline="0"/>
                <a:t> BETA: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it-IT" sz="1100" i="1" baseline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it-IT" sz="110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it-IT" sz="1100" i="1" baseline="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it-IT" sz="110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it-IT" sz="110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it-IT" sz="1100" b="0" i="1" baseline="0">
                                    <a:latin typeface="Cambria Math" panose="02040503050406030204" pitchFamily="18" charset="0"/>
                                  </a:rPr>
                                  <m:t>𝑖𝑚</m:t>
                                </m:r>
                              </m:sub>
                            </m:sSub>
                          </m:num>
                          <m:den>
                            <m:sSubSup>
                              <m:sSubSupPr>
                                <m:ctrlPr>
                                  <a:rPr lang="it-IT" sz="1100" i="1" baseline="0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it-IT" sz="110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it-IT" sz="1100" b="0" i="1" baseline="0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>
                                <m:r>
                                  <a:rPr lang="it-IT" sz="1100" b="0" i="1" baseline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e>
                      <m:sup>
                        <m:r>
                          <a:rPr lang="it-IT" sz="1100" i="1" baseline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it-IT" sz="1100" baseline="0"/>
            </a:p>
            <a:p>
              <a:r>
                <a:rPr lang="it-IT" sz="1100" baseline="0"/>
                <a:t>	</a:t>
              </a:r>
            </a:p>
            <a:p>
              <a:r>
                <a:rPr lang="it-IT" sz="1100" baseline="0"/>
                <a:t>          FORMULA ALFA: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it-IT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it-IT" sz="1100" i="1" baseline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it-IT" sz="1100" i="1" baseline="0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it-IT" sz="1100" b="0" i="1" baseline="0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it-IT" sz="1100" b="0" i="1" baseline="0">
                            <a:latin typeface="Cambria Math" panose="02040503050406030204" pitchFamily="18" charset="0"/>
                          </a:rPr>
                          <m:t>𝑖𝑡</m:t>
                        </m:r>
                      </m:sub>
                    </m:sSub>
                    <m:r>
                      <a:rPr lang="it-IT" sz="1100" b="0" i="1" baseline="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it-IT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b>
                      <m:sSubPr>
                        <m:ctrlPr>
                          <a:rPr lang="it-IT" sz="110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it-IT" sz="110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it-IT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</m:acc>
                      </m:e>
                      <m:sub>
                        <m:r>
                          <a:rPr lang="it-IT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𝑚𝑡</m:t>
                        </m:r>
                      </m:sub>
                    </m:sSub>
                  </m:oMath>
                </m:oMathPara>
              </a14:m>
              <a:endParaRPr lang="it-IT" sz="1100" baseline="0"/>
            </a:p>
            <a:p>
              <a:endParaRPr lang="it-IT" sz="1100" baseline="0"/>
            </a:p>
            <a:p>
              <a:endParaRPr lang="it-IT" sz="1100" baseline="0"/>
            </a:p>
            <a:p>
              <a:r>
                <a:rPr lang="it-IT" sz="1100"/>
                <a:t>	</a:t>
              </a:r>
            </a:p>
          </xdr:txBody>
        </xdr:sp>
      </mc:Choice>
      <mc:Fallback xmlns="">
        <xdr:sp macro="" textlink="">
          <xdr:nvSpPr>
            <xdr:cNvPr id="4" name="CasellaDiTesto 3">
              <a:extLst>
                <a:ext uri="{FF2B5EF4-FFF2-40B4-BE49-F238E27FC236}">
                  <a16:creationId xmlns:a16="http://schemas.microsoft.com/office/drawing/2014/main" id="{90F735ED-EE1C-0C81-2CDA-2E9DF9ED7563}"/>
                </a:ext>
              </a:extLst>
            </xdr:cNvPr>
            <xdr:cNvSpPr txBox="1"/>
          </xdr:nvSpPr>
          <xdr:spPr>
            <a:xfrm>
              <a:off x="251460" y="2735580"/>
              <a:ext cx="1767840" cy="12725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1100"/>
                <a:t>FORMULA</a:t>
              </a:r>
              <a:r>
                <a:rPr lang="it-IT" sz="1100" baseline="0"/>
                <a:t> BETA:</a:t>
              </a:r>
            </a:p>
            <a:p>
              <a:pPr/>
              <a:r>
                <a:rPr lang="it-IT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 baseline="0">
                  <a:latin typeface="Cambria Math" panose="02040503050406030204" pitchFamily="18" charset="0"/>
                </a:rPr>
                <a:t>𝑖</a:t>
              </a:r>
              <a:r>
                <a:rPr lang="it-IT" sz="1100" i="0" baseline="0">
                  <a:latin typeface="Cambria Math" panose="02040503050406030204" pitchFamily="18" charset="0"/>
                </a:rPr>
                <a:t>=〖</a:t>
              </a:r>
              <a:r>
                <a:rPr lang="it-IT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 baseline="0">
                  <a:latin typeface="Cambria Math" panose="02040503050406030204" pitchFamily="18" charset="0"/>
                </a:rPr>
                <a:t>𝑖𝑚/(</a:t>
              </a:r>
              <a:r>
                <a:rPr lang="it-IT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 baseline="0">
                  <a:latin typeface="Cambria Math" panose="02040503050406030204" pitchFamily="18" charset="0"/>
                </a:rPr>
                <a:t>𝑚^2 )〗^</a:t>
              </a:r>
              <a:r>
                <a:rPr lang="it-IT" sz="1100" i="0" baseline="0">
                  <a:latin typeface="Cambria Math" panose="02040503050406030204" pitchFamily="18" charset="0"/>
                </a:rPr>
                <a:t>2</a:t>
              </a:r>
              <a:endParaRPr lang="it-IT" sz="1100" baseline="0"/>
            </a:p>
            <a:p>
              <a:pPr/>
              <a:r>
                <a:rPr lang="it-IT" sz="1100" baseline="0"/>
                <a:t>	</a:t>
              </a:r>
            </a:p>
            <a:p>
              <a:pPr/>
              <a:r>
                <a:rPr lang="it-IT" sz="1100" baseline="0"/>
                <a:t>          FORMULA ALFA:</a:t>
              </a:r>
            </a:p>
            <a:p>
              <a:pPr/>
              <a:r>
                <a:rPr lang="it-IT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it-IT" sz="1100" b="0" i="0" baseline="0">
                  <a:latin typeface="Cambria Math" panose="02040503050406030204" pitchFamily="18" charset="0"/>
                </a:rPr>
                <a:t>𝑖</a:t>
              </a:r>
              <a:r>
                <a:rPr lang="it-IT" sz="1100" i="0" baseline="0">
                  <a:latin typeface="Cambria Math" panose="02040503050406030204" pitchFamily="18" charset="0"/>
                </a:rPr>
                <a:t>=</a:t>
              </a:r>
              <a:r>
                <a:rPr lang="it-IT" sz="1100" b="0" i="0" baseline="0">
                  <a:latin typeface="Cambria Math" panose="02040503050406030204" pitchFamily="18" charset="0"/>
                </a:rPr>
                <a:t>𝑅 ̅_𝑖𝑡−</a:t>
              </a:r>
              <a:r>
                <a:rPr lang="it-IT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 baseline="0">
                  <a:latin typeface="Cambria Math" panose="02040503050406030204" pitchFamily="18" charset="0"/>
                </a:rPr>
                <a:t>𝑖</a:t>
              </a:r>
              <a:r>
                <a:rPr lang="it-IT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𝑅 ̅_</a:t>
              </a:r>
              <a:r>
                <a:rPr lang="it-IT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𝑚𝑡</a:t>
              </a:r>
              <a:endParaRPr lang="it-IT" sz="1100" baseline="0"/>
            </a:p>
            <a:p>
              <a:pPr/>
              <a:endParaRPr lang="it-IT" sz="1100" baseline="0"/>
            </a:p>
            <a:p>
              <a:pPr/>
              <a:endParaRPr lang="it-IT" sz="1100" baseline="0"/>
            </a:p>
            <a:p>
              <a:r>
                <a:rPr lang="it-IT" sz="1100"/>
                <a:t>	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22</xdr:row>
      <xdr:rowOff>15240</xdr:rowOff>
    </xdr:from>
    <xdr:to>
      <xdr:col>2</xdr:col>
      <xdr:colOff>518160</xdr:colOff>
      <xdr:row>26</xdr:row>
      <xdr:rowOff>22860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0ACDB4C8-64F6-DD82-FE59-00BE15C4BDDE}"/>
                </a:ext>
              </a:extLst>
            </xdr:cNvPr>
            <xdr:cNvSpPr txBox="1"/>
          </xdr:nvSpPr>
          <xdr:spPr>
            <a:xfrm>
              <a:off x="91440" y="4053840"/>
              <a:ext cx="2468880" cy="7391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𝑅𝑚</m:t>
                    </m:r>
                  </m:oMath>
                </m:oMathPara>
              </a14:m>
              <a:endParaRPr lang="it-IT" sz="1100" b="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t-I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bSup>
                      <m:sSubSup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t-I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it-IT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𝑒𝑖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it-IT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sSubSup>
                      <m:sSubSup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it-IT" sz="1100" b="0"/>
            </a:p>
            <a:p>
              <a:endParaRPr lang="it-IT" sz="1100" b="0"/>
            </a:p>
            <a:p>
              <a:endParaRPr lang="it-IT" sz="1100"/>
            </a:p>
          </xdr:txBody>
        </xdr:sp>
      </mc:Choice>
      <mc:Fallback xmlns="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0ACDB4C8-64F6-DD82-FE59-00BE15C4BDDE}"/>
                </a:ext>
              </a:extLst>
            </xdr:cNvPr>
            <xdr:cNvSpPr txBox="1"/>
          </xdr:nvSpPr>
          <xdr:spPr>
            <a:xfrm>
              <a:off x="91440" y="4053840"/>
              <a:ext cx="2468880" cy="7391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𝑅_𝑖</a:t>
              </a:r>
              <a:r>
                <a:rPr lang="it-IT" sz="1100" i="0">
                  <a:latin typeface="Cambria Math" panose="02040503050406030204" pitchFamily="18" charset="0"/>
                </a:rPr>
                <a:t>=</a:t>
              </a:r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it-IT" sz="1100" b="0" i="0">
                  <a:latin typeface="Cambria Math" panose="02040503050406030204" pitchFamily="18" charset="0"/>
                </a:rPr>
                <a:t>𝑖+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>
                  <a:latin typeface="Cambria Math" panose="02040503050406030204" pitchFamily="18" charset="0"/>
                </a:rPr>
                <a:t>𝑖 𝑅𝑚</a:t>
              </a:r>
              <a:endParaRPr lang="it-IT" sz="1100" b="0"/>
            </a:p>
            <a:p>
              <a:pPr/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>
                  <a:latin typeface="Cambria Math" panose="02040503050406030204" pitchFamily="18" charset="0"/>
                </a:rPr>
                <a:t>𝑖^2</a:t>
              </a:r>
              <a:r>
                <a:rPr lang="it-IT" sz="1100" i="0">
                  <a:latin typeface="Cambria Math" panose="02040503050406030204" pitchFamily="18" charset="0"/>
                </a:rPr>
                <a:t>=</a:t>
              </a:r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>
                  <a:latin typeface="Cambria Math" panose="02040503050406030204" pitchFamily="18" charset="0"/>
                </a:rPr>
                <a:t>𝑖 </a:t>
              </a:r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>
                  <a:latin typeface="Cambria Math" panose="02040503050406030204" pitchFamily="18" charset="0"/>
                </a:rPr>
                <a:t>𝑚^2+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>
                  <a:latin typeface="Cambria Math" panose="02040503050406030204" pitchFamily="18" charset="0"/>
                </a:rPr>
                <a:t>𝑒𝑖^2</a:t>
              </a:r>
              <a:endParaRPr lang="it-IT" sz="1100" b="0" i="1">
                <a:latin typeface="Cambria Math" panose="02040503050406030204" pitchFamily="18" charset="0"/>
              </a:endParaRPr>
            </a:p>
            <a:p>
              <a:pPr/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𝜎_(</a:t>
              </a:r>
              <a:r>
                <a:rPr lang="it-IT" sz="1100" b="0" i="0">
                  <a:latin typeface="Cambria Math" panose="02040503050406030204" pitchFamily="18" charset="0"/>
                </a:rPr>
                <a:t>𝑖,𝑗)=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>
                  <a:latin typeface="Cambria Math" panose="02040503050406030204" pitchFamily="18" charset="0"/>
                </a:rPr>
                <a:t>𝑖 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>
                  <a:latin typeface="Cambria Math" panose="02040503050406030204" pitchFamily="18" charset="0"/>
                </a:rPr>
                <a:t>𝑗 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it-IT" sz="1100" b="0" i="0">
                  <a:latin typeface="Cambria Math" panose="02040503050406030204" pitchFamily="18" charset="0"/>
                </a:rPr>
                <a:t>𝑚^2</a:t>
              </a:r>
              <a:endParaRPr lang="it-IT" sz="1100" b="0"/>
            </a:p>
            <a:p>
              <a:endParaRPr lang="it-IT" sz="1100" b="0"/>
            </a:p>
            <a:p>
              <a:endParaRPr lang="it-IT" sz="1100"/>
            </a:p>
          </xdr:txBody>
        </xdr:sp>
      </mc:Fallback>
    </mc:AlternateContent>
    <xdr:clientData/>
  </xdr:twoCellAnchor>
  <xdr:twoCellAnchor>
    <xdr:from>
      <xdr:col>3</xdr:col>
      <xdr:colOff>6957</xdr:colOff>
      <xdr:row>46</xdr:row>
      <xdr:rowOff>158199</xdr:rowOff>
    </xdr:from>
    <xdr:to>
      <xdr:col>9</xdr:col>
      <xdr:colOff>646044</xdr:colOff>
      <xdr:row>76</xdr:row>
      <xdr:rowOff>33131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96941FD-2857-5217-211C-B309DD571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20</xdr:row>
      <xdr:rowOff>22860</xdr:rowOff>
    </xdr:from>
    <xdr:to>
      <xdr:col>1</xdr:col>
      <xdr:colOff>731520</xdr:colOff>
      <xdr:row>22</xdr:row>
      <xdr:rowOff>7620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25AE5A85-8244-E4FC-6606-2DDD3D8E92A1}"/>
                </a:ext>
              </a:extLst>
            </xdr:cNvPr>
            <xdr:cNvSpPr txBox="1"/>
          </xdr:nvSpPr>
          <xdr:spPr>
            <a:xfrm>
              <a:off x="53340" y="3680460"/>
              <a:ext cx="2103120" cy="3505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</m:d>
                    <m:r>
                      <a:rPr lang="it-IT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[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it-IT" sz="1100" b="0" i="0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it-IT" sz="1100" b="0"/>
            </a:p>
            <a:p>
              <a:endParaRPr lang="it-IT" sz="1100"/>
            </a:p>
          </xdr:txBody>
        </xdr:sp>
      </mc:Choice>
      <mc:Fallback xmlns="">
        <xdr:sp macro="" textlink="">
          <xdr:nvSpPr>
            <xdr:cNvPr id="2" name="CasellaDiTesto 1">
              <a:extLst>
                <a:ext uri="{FF2B5EF4-FFF2-40B4-BE49-F238E27FC236}">
                  <a16:creationId xmlns:a16="http://schemas.microsoft.com/office/drawing/2014/main" id="{25AE5A85-8244-E4FC-6606-2DDD3D8E92A1}"/>
                </a:ext>
              </a:extLst>
            </xdr:cNvPr>
            <xdr:cNvSpPr txBox="1"/>
          </xdr:nvSpPr>
          <xdr:spPr>
            <a:xfrm>
              <a:off x="53340" y="3680460"/>
              <a:ext cx="2103120" cy="3505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𝐸(𝑟)</a:t>
              </a:r>
              <a:r>
                <a:rPr lang="it-IT" sz="1100" i="0">
                  <a:latin typeface="Cambria Math" panose="02040503050406030204" pitchFamily="18" charset="0"/>
                </a:rPr>
                <a:t>=</a:t>
              </a:r>
              <a:r>
                <a:rPr lang="it-IT" sz="1100" b="0" i="0">
                  <a:latin typeface="Cambria Math" panose="02040503050406030204" pitchFamily="18" charset="0"/>
                </a:rPr>
                <a:t>𝑟_𝑓+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it-IT" sz="1100" b="0" i="0">
                  <a:latin typeface="Cambria Math" panose="02040503050406030204" pitchFamily="18" charset="0"/>
                </a:rPr>
                <a:t>𝑖 [𝐸(𝑟_𝑚−𝑟_𝑓 )]</a:t>
              </a:r>
              <a:endParaRPr lang="it-IT" sz="1100" b="0"/>
            </a:p>
            <a:p>
              <a:endParaRPr lang="it-IT" sz="1100"/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F194314-4E4A-5302-C188-D025AEBCB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FB9823B-1FA9-9353-6F5E-DA1804F60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A4516EB-F18C-4C49-EB2D-4D23D6161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8AC882F-FB56-2A48-E0E2-DA7C211AD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8106DD6-2B4C-711D-E512-B639BB744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4E7E2C0-0024-EA6B-200A-75262415F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87178EC-1628-08B6-B1EA-26C1916CB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E01E977-DCC7-1960-8A1C-7D24E35EA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703B9ED-E92A-DA3C-5B79-2C3A236FD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0560E0-D32D-0F13-B5AD-A75BA5D52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9b3036cd34a7915/Desktop/progetto%20corsi/punto%20A5%204.xlsx" TargetMode="External"/><Relationship Id="rId1" Type="http://schemas.openxmlformats.org/officeDocument/2006/relationships/externalLinkPath" Target="progetto%20corsi/punto%20A5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W con 5 titoli"/>
      <sheetName val="EW con 10 titoli"/>
    </sheetNames>
    <sheetDataSet>
      <sheetData sheetId="0">
        <row r="18">
          <cell r="F18">
            <v>1.1270078766024288E-2</v>
          </cell>
        </row>
        <row r="22">
          <cell r="F22">
            <v>4.7345890192228027E-2</v>
          </cell>
        </row>
      </sheetData>
      <sheetData sheetId="1">
        <row r="18">
          <cell r="G18">
            <v>1.4367106576803545E-2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87E0-FDEA-4068-9F4D-8CA2C4C73462}">
  <dimension ref="A1:AW198"/>
  <sheetViews>
    <sheetView tabSelected="1" topLeftCell="A139" zoomScaleNormal="100" workbookViewId="0">
      <selection activeCell="AL3" sqref="AL3"/>
    </sheetView>
  </sheetViews>
  <sheetFormatPr defaultRowHeight="14.4" x14ac:dyDescent="0.3"/>
  <cols>
    <col min="1" max="1" width="17.88671875" customWidth="1"/>
    <col min="2" max="2" width="14.5546875" customWidth="1"/>
    <col min="3" max="3" width="12.44140625" customWidth="1"/>
    <col min="4" max="4" width="15.5546875" customWidth="1"/>
    <col min="5" max="5" width="12.6640625" customWidth="1"/>
    <col min="6" max="6" width="12.33203125" customWidth="1"/>
    <col min="7" max="7" width="10.5546875" customWidth="1"/>
    <col min="8" max="8" width="17.33203125" customWidth="1"/>
    <col min="9" max="9" width="15.6640625" customWidth="1"/>
    <col min="10" max="10" width="11.109375" bestFit="1" customWidth="1"/>
    <col min="11" max="11" width="12" customWidth="1"/>
    <col min="12" max="12" width="11.5546875" customWidth="1"/>
    <col min="13" max="13" width="12.109375" customWidth="1"/>
    <col min="14" max="14" width="15.44140625" customWidth="1"/>
    <col min="15" max="15" width="12.88671875" customWidth="1"/>
    <col min="16" max="16" width="10.5546875" customWidth="1"/>
    <col min="17" max="17" width="17" customWidth="1"/>
    <col min="19" max="20" width="16.44140625" customWidth="1"/>
    <col min="21" max="21" width="10.77734375" customWidth="1"/>
    <col min="22" max="22" width="12" customWidth="1"/>
    <col min="24" max="24" width="15.5546875" customWidth="1"/>
    <col min="26" max="26" width="11.109375" customWidth="1"/>
    <col min="27" max="27" width="11.33203125" customWidth="1"/>
    <col min="29" max="29" width="18" customWidth="1"/>
    <col min="31" max="31" width="10.5546875" customWidth="1"/>
    <col min="32" max="32" width="11.109375" customWidth="1"/>
    <col min="34" max="34" width="16" customWidth="1"/>
    <col min="36" max="36" width="11.21875" customWidth="1"/>
    <col min="37" max="37" width="11.88671875" customWidth="1"/>
    <col min="39" max="39" width="16.88671875" customWidth="1"/>
    <col min="41" max="41" width="10.6640625" customWidth="1"/>
    <col min="42" max="42" width="13.5546875" customWidth="1"/>
    <col min="44" max="44" width="15.88671875" customWidth="1"/>
    <col min="46" max="46" width="12.21875" customWidth="1"/>
    <col min="47" max="47" width="13.77734375" customWidth="1"/>
    <col min="49" max="49" width="17.5546875" customWidth="1"/>
  </cols>
  <sheetData>
    <row r="1" spans="1:49" x14ac:dyDescent="0.3">
      <c r="A1" s="170" t="s">
        <v>0</v>
      </c>
      <c r="B1" s="170"/>
      <c r="C1" s="170"/>
      <c r="D1" s="170"/>
      <c r="F1" s="170" t="s">
        <v>15</v>
      </c>
      <c r="G1" s="170"/>
      <c r="H1" s="170"/>
      <c r="I1" s="170"/>
      <c r="K1" s="170" t="s">
        <v>16</v>
      </c>
      <c r="L1" s="171"/>
      <c r="M1" s="171"/>
      <c r="N1" s="171"/>
      <c r="P1" s="170" t="s">
        <v>1</v>
      </c>
      <c r="Q1" s="170"/>
      <c r="R1" s="170"/>
      <c r="S1" s="170"/>
      <c r="T1" s="1"/>
      <c r="U1" s="170" t="s">
        <v>2</v>
      </c>
      <c r="V1" s="170"/>
      <c r="W1" s="170"/>
      <c r="X1" s="170"/>
      <c r="Z1" s="170" t="s">
        <v>3</v>
      </c>
      <c r="AA1" s="170"/>
      <c r="AB1" s="170"/>
      <c r="AC1" s="170"/>
      <c r="AE1" s="170" t="s">
        <v>4</v>
      </c>
      <c r="AF1" s="170"/>
      <c r="AG1" s="170"/>
      <c r="AH1" s="170"/>
      <c r="AJ1" s="170" t="s">
        <v>5</v>
      </c>
      <c r="AK1" s="170"/>
      <c r="AL1" s="170"/>
      <c r="AM1" s="170"/>
      <c r="AO1" s="170" t="s">
        <v>6</v>
      </c>
      <c r="AP1" s="170"/>
      <c r="AQ1" s="170"/>
      <c r="AR1" s="170"/>
      <c r="AT1" s="170" t="s">
        <v>7</v>
      </c>
      <c r="AU1" s="170"/>
      <c r="AV1" s="170"/>
      <c r="AW1" s="170"/>
    </row>
    <row r="2" spans="1:49" x14ac:dyDescent="0.3">
      <c r="A2" s="1" t="s">
        <v>8</v>
      </c>
      <c r="B2" s="1" t="s">
        <v>9</v>
      </c>
      <c r="D2" t="s">
        <v>10</v>
      </c>
      <c r="F2" t="s">
        <v>8</v>
      </c>
      <c r="G2" t="s">
        <v>9</v>
      </c>
      <c r="I2" t="s">
        <v>10</v>
      </c>
      <c r="K2" t="s">
        <v>8</v>
      </c>
      <c r="L2" t="s">
        <v>9</v>
      </c>
      <c r="N2" t="s">
        <v>10</v>
      </c>
      <c r="P2" t="s">
        <v>8</v>
      </c>
      <c r="Q2" t="s">
        <v>9</v>
      </c>
      <c r="S2" t="s">
        <v>10</v>
      </c>
      <c r="U2" t="s">
        <v>8</v>
      </c>
      <c r="V2" t="s">
        <v>9</v>
      </c>
      <c r="X2" t="s">
        <v>10</v>
      </c>
      <c r="Z2" t="s">
        <v>8</v>
      </c>
      <c r="AA2" t="s">
        <v>9</v>
      </c>
      <c r="AC2" t="s">
        <v>10</v>
      </c>
      <c r="AE2" t="s">
        <v>8</v>
      </c>
      <c r="AF2" t="s">
        <v>9</v>
      </c>
      <c r="AH2" t="s">
        <v>10</v>
      </c>
      <c r="AJ2" t="s">
        <v>8</v>
      </c>
      <c r="AK2" t="s">
        <v>9</v>
      </c>
      <c r="AM2" t="s">
        <v>10</v>
      </c>
      <c r="AO2" t="s">
        <v>8</v>
      </c>
      <c r="AP2" t="s">
        <v>9</v>
      </c>
      <c r="AR2" t="s">
        <v>10</v>
      </c>
      <c r="AT2" t="s">
        <v>8</v>
      </c>
      <c r="AU2" t="s">
        <v>9</v>
      </c>
      <c r="AW2" t="s">
        <v>11</v>
      </c>
    </row>
    <row r="3" spans="1:49" x14ac:dyDescent="0.3">
      <c r="A3" s="2">
        <v>41395</v>
      </c>
      <c r="B3" s="3">
        <v>13872261</v>
      </c>
      <c r="C3">
        <f>(B4-B3)/B3</f>
        <v>-0.11245722669145282</v>
      </c>
      <c r="D3" s="5">
        <f>AVERAGE(C3:C121)</f>
        <v>2.4266687078894917E-2</v>
      </c>
      <c r="F3" s="2">
        <v>41395</v>
      </c>
      <c r="G3" s="3">
        <v>16363121</v>
      </c>
      <c r="H3">
        <f>(G4-G3)/G3</f>
        <v>9.8442589283548043E-2</v>
      </c>
      <c r="I3" s="5">
        <f>AVERAGE(H3:H121)</f>
        <v>1.8519404790574453E-2</v>
      </c>
      <c r="K3" s="2">
        <v>41395</v>
      </c>
      <c r="L3" s="3">
        <v>136430252</v>
      </c>
      <c r="M3">
        <f>(L4-L3)/L3</f>
        <v>-6.3869983909433811E-2</v>
      </c>
      <c r="N3" s="5">
        <f>AVERAGE(M3:M121)</f>
        <v>1.0700275344899866E-2</v>
      </c>
      <c r="P3" s="2">
        <v>41395</v>
      </c>
      <c r="Q3" s="3">
        <v>41275848</v>
      </c>
      <c r="R3">
        <f>(Q4-Q3)/Q3</f>
        <v>-3.2973180829622202E-2</v>
      </c>
      <c r="S3" s="5">
        <f>AVERAGE(R3:R121)</f>
        <v>1.2575794266858873E-2</v>
      </c>
      <c r="U3" s="2">
        <v>41395</v>
      </c>
      <c r="V3" s="3">
        <v>28943336</v>
      </c>
      <c r="W3">
        <f>(V4-V3)/V3</f>
        <v>-3.3754229298239842E-3</v>
      </c>
      <c r="X3" s="5">
        <f>AVERAGE(W3:W121)</f>
        <v>2.1258510456685878E-2</v>
      </c>
      <c r="Z3" s="2">
        <v>41395</v>
      </c>
      <c r="AA3" s="3">
        <v>32675747</v>
      </c>
      <c r="AB3">
        <f>(AA4-AA3)/AA3</f>
        <v>3.9113903042522637E-2</v>
      </c>
      <c r="AC3" s="5">
        <f>AVERAGE(AB3:AB121)</f>
        <v>1.4317675829852678E-2</v>
      </c>
      <c r="AE3" s="2">
        <v>41395</v>
      </c>
      <c r="AF3" s="3">
        <v>18054180</v>
      </c>
      <c r="AG3">
        <f>(AF4-AF3)/AF3</f>
        <v>3.7219857118960815E-2</v>
      </c>
      <c r="AH3" s="5">
        <f>AVERAGE(AG3:AG121)</f>
        <v>8.8334802790644117E-3</v>
      </c>
      <c r="AJ3" s="2">
        <v>41395</v>
      </c>
      <c r="AK3" s="3">
        <v>91764030</v>
      </c>
      <c r="AL3">
        <f>(AK4-AK3)/AK3</f>
        <v>5.1930151716309755E-3</v>
      </c>
      <c r="AM3" s="5">
        <f>AVERAGE(AL3:AL121)</f>
        <v>-1.5309349758267255E-3</v>
      </c>
      <c r="AO3" s="2">
        <v>41395</v>
      </c>
      <c r="AP3" s="3">
        <v>838445251</v>
      </c>
      <c r="AQ3">
        <f>(AP4-AP3)/AP3</f>
        <v>0</v>
      </c>
      <c r="AR3" s="5">
        <f>AVERAGE(AQ3:AQ121)</f>
        <v>1.3109002750260737E-2</v>
      </c>
      <c r="AT3" s="2">
        <v>41395</v>
      </c>
      <c r="AU3" s="3">
        <v>54389999</v>
      </c>
      <c r="AV3">
        <f>(AU4-AU3)/AU3</f>
        <v>-0.17613528545937279</v>
      </c>
      <c r="AW3" s="5">
        <f>AVERAGE(AV3:AV121)</f>
        <v>2.1621169946770352E-2</v>
      </c>
    </row>
    <row r="4" spans="1:49" x14ac:dyDescent="0.3">
      <c r="A4" s="2">
        <v>41426</v>
      </c>
      <c r="B4" s="3">
        <v>12312225</v>
      </c>
      <c r="C4">
        <f t="shared" ref="C4:C67" si="0">(B5-B4)/B4</f>
        <v>0.14122540808018047</v>
      </c>
      <c r="F4" s="2">
        <v>41426</v>
      </c>
      <c r="G4" s="3">
        <v>17973949</v>
      </c>
      <c r="H4">
        <f t="shared" ref="H4:H67" si="1">(G5-G4)/G4</f>
        <v>7.2669728839221695E-2</v>
      </c>
      <c r="K4" s="2">
        <v>41426</v>
      </c>
      <c r="L4" s="3">
        <v>127716454</v>
      </c>
      <c r="M4">
        <f t="shared" ref="M4:M67" si="2">(L5-L4)/L4</f>
        <v>8.449609789510755E-2</v>
      </c>
      <c r="P4" s="2">
        <v>41426</v>
      </c>
      <c r="Q4" s="3">
        <v>39914852</v>
      </c>
      <c r="R4">
        <f t="shared" ref="R4:R67" si="3">(Q5-Q4)/Q4</f>
        <v>5.5692101777052812E-2</v>
      </c>
      <c r="U4" s="2">
        <v>41426</v>
      </c>
      <c r="V4" s="3">
        <v>28845640</v>
      </c>
      <c r="W4">
        <f t="shared" ref="W4:W67" si="4">(V5-V4)/V4</f>
        <v>-7.8170184471552717E-2</v>
      </c>
      <c r="Z4" s="2">
        <v>41426</v>
      </c>
      <c r="AA4" s="3">
        <v>33953823</v>
      </c>
      <c r="AB4">
        <f t="shared" ref="AB4:AB67" si="5">(AA5-AA4)/AA4</f>
        <v>3.5168234222108068E-2</v>
      </c>
      <c r="AE4" s="2">
        <v>41426</v>
      </c>
      <c r="AF4" s="3">
        <v>18726154</v>
      </c>
      <c r="AG4">
        <f t="shared" ref="AG4:AG67" si="6">(AF5-AF4)/AF4</f>
        <v>4.3555553372037849E-2</v>
      </c>
      <c r="AJ4" s="2">
        <v>41426</v>
      </c>
      <c r="AK4" s="3">
        <v>92240562</v>
      </c>
      <c r="AL4">
        <f t="shared" ref="AL4:AL67" si="7">(AK5-AK4)/AK4</f>
        <v>0.12707199247116469</v>
      </c>
      <c r="AO4" s="2">
        <v>41426</v>
      </c>
      <c r="AP4" s="3">
        <v>838445251</v>
      </c>
      <c r="AQ4">
        <f t="shared" ref="AQ4:AQ67" si="8">(AP5-AP4)/AP4</f>
        <v>-1.8206624680375226E-2</v>
      </c>
      <c r="AT4" s="2">
        <v>41426</v>
      </c>
      <c r="AU4" s="3">
        <v>44810001</v>
      </c>
      <c r="AV4">
        <f t="shared" ref="AV4:AV67" si="9">(AU5-AU4)/AU4</f>
        <v>9.8415530050981248E-2</v>
      </c>
    </row>
    <row r="5" spans="1:49" x14ac:dyDescent="0.3">
      <c r="A5" s="2">
        <v>41456</v>
      </c>
      <c r="B5" s="3">
        <v>14051024</v>
      </c>
      <c r="C5">
        <f t="shared" si="0"/>
        <v>7.6658042858655712E-2</v>
      </c>
      <c r="F5" s="2">
        <v>41456</v>
      </c>
      <c r="G5" s="3">
        <v>19280111</v>
      </c>
      <c r="H5">
        <f t="shared" si="1"/>
        <v>9.965653206042227E-2</v>
      </c>
      <c r="K5" s="2">
        <v>41456</v>
      </c>
      <c r="L5" s="3">
        <v>138507996</v>
      </c>
      <c r="M5">
        <f t="shared" si="2"/>
        <v>-7.2547999322725015E-2</v>
      </c>
      <c r="P5" s="2">
        <v>41456</v>
      </c>
      <c r="Q5" s="3">
        <v>42137794</v>
      </c>
      <c r="R5">
        <f t="shared" si="3"/>
        <v>-8.6694737745407369E-2</v>
      </c>
      <c r="U5" s="2">
        <v>41456</v>
      </c>
      <c r="V5" s="3">
        <v>26590771</v>
      </c>
      <c r="W5">
        <f t="shared" si="4"/>
        <v>4.8995119396876459E-2</v>
      </c>
      <c r="Z5" s="2">
        <v>41456</v>
      </c>
      <c r="AA5" s="3">
        <v>35147919</v>
      </c>
      <c r="AB5">
        <f t="shared" si="5"/>
        <v>-4.5454241544143764E-2</v>
      </c>
      <c r="AE5" s="2">
        <v>41456</v>
      </c>
      <c r="AF5" s="3">
        <v>19541782</v>
      </c>
      <c r="AG5">
        <f t="shared" si="6"/>
        <v>-2.7025170990035607E-2</v>
      </c>
      <c r="AJ5" s="2">
        <v>41456</v>
      </c>
      <c r="AK5" s="3">
        <v>103961754</v>
      </c>
      <c r="AL5">
        <f t="shared" si="7"/>
        <v>0.10539218105150477</v>
      </c>
      <c r="AO5" s="2">
        <v>41456</v>
      </c>
      <c r="AP5" s="3">
        <v>823179993</v>
      </c>
      <c r="AQ5">
        <f t="shared" si="8"/>
        <v>0.10755661307720825</v>
      </c>
      <c r="AT5" s="2">
        <v>41456</v>
      </c>
      <c r="AU5" s="3">
        <v>49220001</v>
      </c>
      <c r="AV5">
        <f t="shared" si="9"/>
        <v>-0.25396179898492893</v>
      </c>
    </row>
    <row r="6" spans="1:49" x14ac:dyDescent="0.3">
      <c r="A6" s="2">
        <v>41487</v>
      </c>
      <c r="B6" s="3">
        <v>15128148</v>
      </c>
      <c r="C6">
        <f t="shared" si="0"/>
        <v>-1.5028475395666409E-2</v>
      </c>
      <c r="F6" s="2">
        <v>41487</v>
      </c>
      <c r="G6" s="3">
        <v>21201500</v>
      </c>
      <c r="H6">
        <f t="shared" si="1"/>
        <v>7.2321345187840488E-2</v>
      </c>
      <c r="K6" s="2">
        <v>41487</v>
      </c>
      <c r="L6" s="3">
        <v>128459518</v>
      </c>
      <c r="M6">
        <f t="shared" si="2"/>
        <v>4.3370830645651344E-2</v>
      </c>
      <c r="P6" s="2">
        <v>41487</v>
      </c>
      <c r="Q6" s="3">
        <v>38484669</v>
      </c>
      <c r="R6">
        <f t="shared" si="3"/>
        <v>2.2956362181522205E-2</v>
      </c>
      <c r="U6" s="2">
        <v>41487</v>
      </c>
      <c r="V6" s="3">
        <v>27893589</v>
      </c>
      <c r="W6">
        <f t="shared" si="4"/>
        <v>3.4283505073513486E-3</v>
      </c>
      <c r="Z6" s="2">
        <v>41487</v>
      </c>
      <c r="AA6" s="3">
        <v>33550297</v>
      </c>
      <c r="AB6">
        <f t="shared" si="5"/>
        <v>2.0046946231206238E-2</v>
      </c>
      <c r="AE6" s="2">
        <v>41487</v>
      </c>
      <c r="AF6" s="3">
        <v>19013662</v>
      </c>
      <c r="AG6">
        <f t="shared" si="6"/>
        <v>1.8433429604460202E-2</v>
      </c>
      <c r="AJ6" s="2">
        <v>41487</v>
      </c>
      <c r="AK6" s="3">
        <v>114918510</v>
      </c>
      <c r="AL6">
        <f t="shared" si="7"/>
        <v>2.4390152639465999E-2</v>
      </c>
      <c r="AO6" s="2">
        <v>41487</v>
      </c>
      <c r="AP6" s="3">
        <v>911718445</v>
      </c>
      <c r="AQ6">
        <f t="shared" si="8"/>
        <v>-3.9346829272495415E-2</v>
      </c>
      <c r="AT6" s="2">
        <v>41487</v>
      </c>
      <c r="AU6" s="3">
        <v>36720001</v>
      </c>
      <c r="AV6">
        <f t="shared" si="9"/>
        <v>9.5043515930187478E-2</v>
      </c>
    </row>
    <row r="7" spans="1:49" x14ac:dyDescent="0.3">
      <c r="A7" s="2">
        <v>41518</v>
      </c>
      <c r="B7" s="3">
        <v>14900795</v>
      </c>
      <c r="C7">
        <f t="shared" si="0"/>
        <v>9.6381904455433418E-2</v>
      </c>
      <c r="F7" s="2">
        <v>41518</v>
      </c>
      <c r="G7" s="3">
        <v>22734821</v>
      </c>
      <c r="H7">
        <f t="shared" si="1"/>
        <v>-4.2464596488355905E-2</v>
      </c>
      <c r="K7" s="2">
        <v>41518</v>
      </c>
      <c r="L7" s="3">
        <v>134030914</v>
      </c>
      <c r="M7">
        <f t="shared" si="2"/>
        <v>1.6749717904632061E-2</v>
      </c>
      <c r="P7" s="2">
        <v>41518</v>
      </c>
      <c r="Q7" s="3">
        <v>39368137</v>
      </c>
      <c r="R7">
        <f t="shared" si="3"/>
        <v>-2.9017883167801414E-3</v>
      </c>
      <c r="U7" s="2">
        <v>41518</v>
      </c>
      <c r="V7" s="3">
        <v>27989218</v>
      </c>
      <c r="W7">
        <f t="shared" si="4"/>
        <v>6.4002431221908379E-2</v>
      </c>
      <c r="Z7" s="2">
        <v>41518</v>
      </c>
      <c r="AA7" s="3">
        <v>34222878</v>
      </c>
      <c r="AB7">
        <f t="shared" si="5"/>
        <v>3.8517158025108231E-2</v>
      </c>
      <c r="AE7" s="2">
        <v>41518</v>
      </c>
      <c r="AF7" s="3">
        <v>19364149</v>
      </c>
      <c r="AG7">
        <f t="shared" si="6"/>
        <v>6.822127840474683E-2</v>
      </c>
      <c r="AJ7" s="2">
        <v>41518</v>
      </c>
      <c r="AK7" s="3">
        <v>117721390</v>
      </c>
      <c r="AL7">
        <f t="shared" si="7"/>
        <v>-0.11471870150360949</v>
      </c>
      <c r="AO7" s="2">
        <v>41518</v>
      </c>
      <c r="AP7" s="3">
        <v>875845215</v>
      </c>
      <c r="AQ7">
        <f t="shared" si="8"/>
        <v>-4.7494510773801513E-2</v>
      </c>
      <c r="AT7" s="2">
        <v>41518</v>
      </c>
      <c r="AU7" s="3">
        <v>40209999</v>
      </c>
      <c r="AV7">
        <f t="shared" si="9"/>
        <v>0.25118135417014059</v>
      </c>
    </row>
    <row r="8" spans="1:49" x14ac:dyDescent="0.3">
      <c r="A8" s="2">
        <v>41548</v>
      </c>
      <c r="B8" s="3">
        <v>16336962</v>
      </c>
      <c r="C8">
        <f t="shared" si="0"/>
        <v>6.3841490235455031E-2</v>
      </c>
      <c r="F8" s="2">
        <v>41548</v>
      </c>
      <c r="G8" s="3">
        <v>21769396</v>
      </c>
      <c r="H8">
        <f t="shared" si="1"/>
        <v>0.11739140580657359</v>
      </c>
      <c r="K8" s="2">
        <v>41548</v>
      </c>
      <c r="L8" s="3">
        <v>136275894</v>
      </c>
      <c r="M8">
        <f t="shared" si="2"/>
        <v>5.0230226337755673E-2</v>
      </c>
      <c r="P8" s="2">
        <v>41548</v>
      </c>
      <c r="Q8" s="3">
        <v>39253899</v>
      </c>
      <c r="R8">
        <f t="shared" si="3"/>
        <v>0.11838487687554299</v>
      </c>
      <c r="U8" s="2">
        <v>41548</v>
      </c>
      <c r="V8" s="3">
        <v>29780596</v>
      </c>
      <c r="W8">
        <f t="shared" si="4"/>
        <v>7.6814312245463451E-2</v>
      </c>
      <c r="Z8" s="2">
        <v>41548</v>
      </c>
      <c r="AA8" s="3">
        <v>35541046</v>
      </c>
      <c r="AB8">
        <f t="shared" si="5"/>
        <v>-1.212960924110112E-2</v>
      </c>
      <c r="AE8" s="2">
        <v>41548</v>
      </c>
      <c r="AF8" s="3">
        <v>20685196</v>
      </c>
      <c r="AG8">
        <f t="shared" si="6"/>
        <v>3.388723026844899E-2</v>
      </c>
      <c r="AJ8" s="2">
        <v>41548</v>
      </c>
      <c r="AK8" s="3">
        <v>104216545</v>
      </c>
      <c r="AL8">
        <f t="shared" si="7"/>
        <v>1.5484998087395816E-2</v>
      </c>
      <c r="AO8" s="2">
        <v>41548</v>
      </c>
      <c r="AP8" s="3">
        <v>834247375</v>
      </c>
      <c r="AQ8">
        <f t="shared" si="8"/>
        <v>2.0127948259951074E-2</v>
      </c>
      <c r="AT8" s="2">
        <v>41548</v>
      </c>
      <c r="AU8" s="3">
        <v>50310001</v>
      </c>
      <c r="AV8">
        <f t="shared" si="9"/>
        <v>0.18902800260329949</v>
      </c>
    </row>
    <row r="9" spans="1:49" x14ac:dyDescent="0.3">
      <c r="A9" s="2">
        <v>41579</v>
      </c>
      <c r="B9" s="3">
        <v>17379938</v>
      </c>
      <c r="C9">
        <f t="shared" si="0"/>
        <v>1.4792227682285173E-2</v>
      </c>
      <c r="F9" s="2">
        <v>41579</v>
      </c>
      <c r="G9" s="3">
        <v>24324936</v>
      </c>
      <c r="H9">
        <f t="shared" si="1"/>
        <v>5.0583072448782598E-3</v>
      </c>
      <c r="K9" s="2">
        <v>41579</v>
      </c>
      <c r="L9" s="3">
        <v>143121063</v>
      </c>
      <c r="M9">
        <f t="shared" si="2"/>
        <v>5.2693285264377894E-2</v>
      </c>
      <c r="P9" s="2">
        <v>41579</v>
      </c>
      <c r="Q9" s="3">
        <v>43900967</v>
      </c>
      <c r="R9">
        <f t="shared" si="3"/>
        <v>2.2019947761059568E-2</v>
      </c>
      <c r="U9" s="2">
        <v>41579</v>
      </c>
      <c r="V9" s="3">
        <v>32068172</v>
      </c>
      <c r="W9">
        <f t="shared" si="4"/>
        <v>-1.1441469130201746E-2</v>
      </c>
      <c r="Z9" s="2">
        <v>41579</v>
      </c>
      <c r="AA9" s="3">
        <v>35109947</v>
      </c>
      <c r="AB9">
        <f t="shared" si="5"/>
        <v>4.4662841558832317E-3</v>
      </c>
      <c r="AE9" s="2">
        <v>41579</v>
      </c>
      <c r="AF9" s="3">
        <v>21386160</v>
      </c>
      <c r="AG9">
        <f t="shared" si="6"/>
        <v>-2.7193848732077194E-2</v>
      </c>
      <c r="AJ9" s="2">
        <v>41579</v>
      </c>
      <c r="AK9" s="3">
        <v>105830338</v>
      </c>
      <c r="AL9">
        <f t="shared" si="7"/>
        <v>-2.5682134739095325E-2</v>
      </c>
      <c r="AO9" s="2">
        <v>41579</v>
      </c>
      <c r="AP9" s="3">
        <v>851039063</v>
      </c>
      <c r="AQ9">
        <f t="shared" si="8"/>
        <v>-3.0044915811343904E-2</v>
      </c>
      <c r="AT9" s="2">
        <v>41579</v>
      </c>
      <c r="AU9" s="3">
        <v>59820000</v>
      </c>
      <c r="AV9">
        <f t="shared" si="9"/>
        <v>-8.6593129388164491E-2</v>
      </c>
    </row>
    <row r="10" spans="1:49" x14ac:dyDescent="0.3">
      <c r="A10" s="2">
        <v>41609</v>
      </c>
      <c r="B10" s="3">
        <v>17637026</v>
      </c>
      <c r="C10">
        <f t="shared" si="0"/>
        <v>-0.10769672846204344</v>
      </c>
      <c r="F10" s="2">
        <v>41609</v>
      </c>
      <c r="G10" s="3">
        <v>24447979</v>
      </c>
      <c r="H10">
        <f t="shared" si="1"/>
        <v>-0.21602787698729617</v>
      </c>
      <c r="K10" s="2">
        <v>41609</v>
      </c>
      <c r="L10" s="3">
        <v>150662582</v>
      </c>
      <c r="M10">
        <f t="shared" si="2"/>
        <v>-7.4128020718508589E-2</v>
      </c>
      <c r="P10" s="2">
        <v>41609</v>
      </c>
      <c r="Q10" s="3">
        <v>44867664</v>
      </c>
      <c r="R10">
        <f t="shared" si="3"/>
        <v>-5.3351317777542422E-2</v>
      </c>
      <c r="U10" s="2">
        <v>41609</v>
      </c>
      <c r="V10" s="3">
        <v>31701265</v>
      </c>
      <c r="W10">
        <f t="shared" si="4"/>
        <v>1.1493642288407104E-2</v>
      </c>
      <c r="Z10" s="2">
        <v>41609</v>
      </c>
      <c r="AA10" s="3">
        <v>35266758</v>
      </c>
      <c r="AB10">
        <f t="shared" si="5"/>
        <v>7.3354346889498608E-3</v>
      </c>
      <c r="AE10" s="2">
        <v>41609</v>
      </c>
      <c r="AF10" s="3">
        <v>20804588</v>
      </c>
      <c r="AG10">
        <f t="shared" si="6"/>
        <v>-7.5091609600728458E-3</v>
      </c>
      <c r="AJ10" s="2">
        <v>41609</v>
      </c>
      <c r="AK10" s="3">
        <v>103112389</v>
      </c>
      <c r="AL10">
        <f t="shared" si="7"/>
        <v>-0.16556838771333288</v>
      </c>
      <c r="AO10" s="2">
        <v>41609</v>
      </c>
      <c r="AP10" s="3">
        <v>825469666</v>
      </c>
      <c r="AQ10">
        <f t="shared" si="8"/>
        <v>-5.4553682412358931E-2</v>
      </c>
      <c r="AT10" s="2">
        <v>41609</v>
      </c>
      <c r="AU10" s="3">
        <v>54639999</v>
      </c>
      <c r="AV10">
        <f t="shared" si="9"/>
        <v>-7.4304485254474473E-2</v>
      </c>
    </row>
    <row r="11" spans="1:49" x14ac:dyDescent="0.3">
      <c r="A11" s="2">
        <v>41640</v>
      </c>
      <c r="B11" s="3">
        <v>15737576</v>
      </c>
      <c r="C11">
        <f t="shared" si="0"/>
        <v>5.1218624774234611E-2</v>
      </c>
      <c r="F11" s="2">
        <v>41640</v>
      </c>
      <c r="G11" s="3">
        <v>19166534</v>
      </c>
      <c r="H11">
        <f t="shared" si="1"/>
        <v>8.3950494126898475E-3</v>
      </c>
      <c r="K11" s="2">
        <v>41640</v>
      </c>
      <c r="L11" s="3">
        <v>139494263</v>
      </c>
      <c r="M11">
        <f t="shared" si="2"/>
        <v>1.419694227855091E-2</v>
      </c>
      <c r="P11" s="2">
        <v>41640</v>
      </c>
      <c r="Q11" s="3">
        <v>42473915</v>
      </c>
      <c r="R11">
        <f t="shared" si="3"/>
        <v>3.3085836330368885E-2</v>
      </c>
      <c r="U11" s="2">
        <v>41640</v>
      </c>
      <c r="V11" s="3">
        <v>32065628</v>
      </c>
      <c r="W11">
        <f t="shared" si="4"/>
        <v>1.2420932470120343E-2</v>
      </c>
      <c r="Z11" s="2">
        <v>41640</v>
      </c>
      <c r="AA11" s="3">
        <v>35525455</v>
      </c>
      <c r="AB11">
        <f t="shared" si="5"/>
        <v>6.0400324218226061E-2</v>
      </c>
      <c r="AE11" s="2">
        <v>41640</v>
      </c>
      <c r="AF11" s="3">
        <v>20648363</v>
      </c>
      <c r="AG11">
        <f t="shared" si="6"/>
        <v>5.6250173439899326E-2</v>
      </c>
      <c r="AJ11" s="2">
        <v>41640</v>
      </c>
      <c r="AK11" s="3">
        <v>86040237</v>
      </c>
      <c r="AL11">
        <f t="shared" si="7"/>
        <v>-2.3692019816263406E-2</v>
      </c>
      <c r="AO11" s="2">
        <v>41640</v>
      </c>
      <c r="AP11" s="3">
        <v>780437256</v>
      </c>
      <c r="AQ11">
        <f t="shared" si="8"/>
        <v>9.5354432951365919E-2</v>
      </c>
      <c r="AT11" s="2">
        <v>41640</v>
      </c>
      <c r="AU11" s="3">
        <v>50580002</v>
      </c>
      <c r="AV11">
        <f t="shared" si="9"/>
        <v>0.12831154099203079</v>
      </c>
    </row>
    <row r="12" spans="1:49" x14ac:dyDescent="0.3">
      <c r="A12" s="2">
        <v>41671</v>
      </c>
      <c r="B12" s="3">
        <v>16543633</v>
      </c>
      <c r="C12">
        <f t="shared" si="0"/>
        <v>2.6057819343550476E-2</v>
      </c>
      <c r="F12" s="2">
        <v>41671</v>
      </c>
      <c r="G12" s="3">
        <v>19327438</v>
      </c>
      <c r="H12">
        <f t="shared" si="1"/>
        <v>-5.9255706835018691E-2</v>
      </c>
      <c r="K12" s="2">
        <v>41671</v>
      </c>
      <c r="L12" s="3">
        <v>141474655</v>
      </c>
      <c r="M12">
        <f t="shared" si="2"/>
        <v>-1.2297658545270882E-2</v>
      </c>
      <c r="P12" s="2">
        <v>41671</v>
      </c>
      <c r="Q12" s="3">
        <v>43879200</v>
      </c>
      <c r="R12">
        <f t="shared" si="3"/>
        <v>6.8461685718973916E-2</v>
      </c>
      <c r="U12" s="2">
        <v>41671</v>
      </c>
      <c r="V12" s="3">
        <v>32463913</v>
      </c>
      <c r="W12">
        <f t="shared" si="4"/>
        <v>7.7979077876410036E-2</v>
      </c>
      <c r="Z12" s="2">
        <v>41671</v>
      </c>
      <c r="AA12" s="3">
        <v>37671204</v>
      </c>
      <c r="AB12">
        <f t="shared" si="5"/>
        <v>1.2488637209471723E-2</v>
      </c>
      <c r="AE12" s="2">
        <v>41671</v>
      </c>
      <c r="AF12" s="3">
        <v>21809837</v>
      </c>
      <c r="AG12">
        <f t="shared" si="6"/>
        <v>8.6526093707165255E-3</v>
      </c>
      <c r="AJ12" s="2">
        <v>41671</v>
      </c>
      <c r="AK12" s="3">
        <v>84001770</v>
      </c>
      <c r="AL12">
        <f t="shared" si="7"/>
        <v>-4.7017056902491458E-2</v>
      </c>
      <c r="AO12" s="2">
        <v>41671</v>
      </c>
      <c r="AP12" s="3">
        <v>854855408</v>
      </c>
      <c r="AQ12">
        <f t="shared" si="8"/>
        <v>0.13973210309269049</v>
      </c>
      <c r="AT12" s="2">
        <v>41671</v>
      </c>
      <c r="AU12" s="3">
        <v>57070000</v>
      </c>
      <c r="AV12">
        <f t="shared" si="9"/>
        <v>0.22288419484843175</v>
      </c>
    </row>
    <row r="13" spans="1:49" x14ac:dyDescent="0.3">
      <c r="A13" s="2">
        <v>41699</v>
      </c>
      <c r="B13" s="3">
        <v>16974724</v>
      </c>
      <c r="C13">
        <f t="shared" si="0"/>
        <v>9.9396432012679559E-2</v>
      </c>
      <c r="F13" s="2">
        <v>41699</v>
      </c>
      <c r="G13" s="3">
        <v>18182177</v>
      </c>
      <c r="H13">
        <f t="shared" si="1"/>
        <v>7.7563869277039815E-2</v>
      </c>
      <c r="K13" s="2">
        <v>41699</v>
      </c>
      <c r="L13" s="3">
        <v>139734848</v>
      </c>
      <c r="M13">
        <f t="shared" si="2"/>
        <v>-2.4595575471624657E-2</v>
      </c>
      <c r="P13" s="2">
        <v>41699</v>
      </c>
      <c r="Q13" s="3">
        <v>46883244</v>
      </c>
      <c r="R13">
        <f t="shared" si="3"/>
        <v>-7.7911524211080621E-2</v>
      </c>
      <c r="U13" s="2">
        <v>41699</v>
      </c>
      <c r="V13" s="3">
        <v>34995419</v>
      </c>
      <c r="W13">
        <f t="shared" si="4"/>
        <v>-1.4393883953782636E-2</v>
      </c>
      <c r="Z13" s="2">
        <v>41699</v>
      </c>
      <c r="AA13" s="3">
        <v>38141666</v>
      </c>
      <c r="AB13">
        <f t="shared" si="5"/>
        <v>2.8632991542634767E-3</v>
      </c>
      <c r="AE13" s="2">
        <v>41699</v>
      </c>
      <c r="AF13" s="3">
        <v>21998549</v>
      </c>
      <c r="AG13">
        <f t="shared" si="6"/>
        <v>-2.6151952112841624E-2</v>
      </c>
      <c r="AJ13" s="2">
        <v>41699</v>
      </c>
      <c r="AK13" s="3">
        <v>80052254</v>
      </c>
      <c r="AL13">
        <f t="shared" si="7"/>
        <v>7.0556988938749926E-2</v>
      </c>
      <c r="AO13" s="2">
        <v>41699</v>
      </c>
      <c r="AP13" s="3">
        <v>974306152</v>
      </c>
      <c r="AQ13">
        <f t="shared" si="8"/>
        <v>9.9087694152217558E-3</v>
      </c>
      <c r="AT13" s="2">
        <v>41699</v>
      </c>
      <c r="AU13" s="3">
        <v>69790001</v>
      </c>
      <c r="AV13">
        <f t="shared" si="9"/>
        <v>-3.2956053403696041E-2</v>
      </c>
    </row>
    <row r="14" spans="1:49" x14ac:dyDescent="0.3">
      <c r="A14" s="2">
        <v>41730</v>
      </c>
      <c r="B14" s="3">
        <v>18661951</v>
      </c>
      <c r="C14">
        <f t="shared" si="0"/>
        <v>7.271758456551515E-2</v>
      </c>
      <c r="F14" s="2">
        <v>41730</v>
      </c>
      <c r="G14" s="3">
        <v>19592457</v>
      </c>
      <c r="H14">
        <f t="shared" si="1"/>
        <v>-9.0821227781691702E-2</v>
      </c>
      <c r="K14" s="2">
        <v>41730</v>
      </c>
      <c r="L14" s="3">
        <v>136297989</v>
      </c>
      <c r="M14">
        <f t="shared" si="2"/>
        <v>-6.2803567850146341E-5</v>
      </c>
      <c r="P14" s="2">
        <v>41730</v>
      </c>
      <c r="Q14" s="3">
        <v>43230499</v>
      </c>
      <c r="R14">
        <f t="shared" si="3"/>
        <v>-1.0674408361559741E-3</v>
      </c>
      <c r="U14" s="2">
        <v>41730</v>
      </c>
      <c r="V14" s="3">
        <v>34491699</v>
      </c>
      <c r="W14">
        <f t="shared" si="4"/>
        <v>1.336605656914726E-2</v>
      </c>
      <c r="Z14" s="2">
        <v>41730</v>
      </c>
      <c r="AA14" s="3">
        <v>38250877</v>
      </c>
      <c r="AB14">
        <f t="shared" si="5"/>
        <v>6.7647756154715091E-2</v>
      </c>
      <c r="AE14" s="2">
        <v>41730</v>
      </c>
      <c r="AF14" s="3">
        <v>21423244</v>
      </c>
      <c r="AG14">
        <f t="shared" si="6"/>
        <v>-5.2749434212671059E-2</v>
      </c>
      <c r="AJ14" s="2">
        <v>41730</v>
      </c>
      <c r="AK14" s="3">
        <v>85700500</v>
      </c>
      <c r="AL14">
        <f t="shared" si="7"/>
        <v>-1.0406450370767964E-2</v>
      </c>
      <c r="AO14" s="2">
        <v>41730</v>
      </c>
      <c r="AP14" s="3">
        <v>983960327</v>
      </c>
      <c r="AQ14">
        <f t="shared" si="8"/>
        <v>8.8270319053219304E-2</v>
      </c>
      <c r="AT14" s="2">
        <v>41730</v>
      </c>
      <c r="AU14" s="3">
        <v>67489998</v>
      </c>
      <c r="AV14">
        <f t="shared" si="9"/>
        <v>-8.460511437561459E-2</v>
      </c>
    </row>
    <row r="15" spans="1:49" x14ac:dyDescent="0.3">
      <c r="A15" s="2">
        <v>41760</v>
      </c>
      <c r="B15" s="3">
        <v>20019003</v>
      </c>
      <c r="C15">
        <f t="shared" si="0"/>
        <v>3.340171336204905E-2</v>
      </c>
      <c r="F15" s="2">
        <v>41760</v>
      </c>
      <c r="G15" s="3">
        <v>17813046</v>
      </c>
      <c r="H15">
        <f t="shared" si="1"/>
        <v>-0.11292981559695069</v>
      </c>
      <c r="K15" s="2">
        <v>41760</v>
      </c>
      <c r="L15" s="3">
        <v>136289429</v>
      </c>
      <c r="M15">
        <f t="shared" si="2"/>
        <v>5.1319071855528871E-2</v>
      </c>
      <c r="P15" s="2">
        <v>41760</v>
      </c>
      <c r="Q15" s="3">
        <v>43184353</v>
      </c>
      <c r="R15">
        <f t="shared" si="3"/>
        <v>3.6890537644502862E-2</v>
      </c>
      <c r="U15" s="2">
        <v>41760</v>
      </c>
      <c r="V15" s="3">
        <v>34952717</v>
      </c>
      <c r="W15">
        <f t="shared" si="4"/>
        <v>2.5749643439736028E-2</v>
      </c>
      <c r="Z15" s="2">
        <v>41760</v>
      </c>
      <c r="AA15" s="3">
        <v>40838463</v>
      </c>
      <c r="AB15">
        <f t="shared" si="5"/>
        <v>2.4046766892279955E-2</v>
      </c>
      <c r="AE15" s="2">
        <v>41760</v>
      </c>
      <c r="AF15" s="3">
        <v>20293180</v>
      </c>
      <c r="AG15">
        <f t="shared" si="6"/>
        <v>1.061598034413532E-2</v>
      </c>
      <c r="AJ15" s="2">
        <v>41760</v>
      </c>
      <c r="AK15" s="3">
        <v>84808662</v>
      </c>
      <c r="AL15">
        <f t="shared" si="7"/>
        <v>-4.3232199559993058E-2</v>
      </c>
      <c r="AO15" s="2">
        <v>41760</v>
      </c>
      <c r="AP15" s="3">
        <v>1070814819</v>
      </c>
      <c r="AQ15">
        <f t="shared" si="8"/>
        <v>4.9689499114038693E-2</v>
      </c>
      <c r="AT15" s="2">
        <v>41760</v>
      </c>
      <c r="AU15" s="3">
        <v>61779999</v>
      </c>
      <c r="AV15">
        <f t="shared" si="9"/>
        <v>0.15021041033037247</v>
      </c>
    </row>
    <row r="16" spans="1:49" x14ac:dyDescent="0.3">
      <c r="A16" s="2">
        <v>41791</v>
      </c>
      <c r="B16" s="3">
        <v>20687672</v>
      </c>
      <c r="C16">
        <f t="shared" si="0"/>
        <v>2.8731797371884086E-2</v>
      </c>
      <c r="F16" s="2">
        <v>41791</v>
      </c>
      <c r="G16" s="3">
        <v>15801422</v>
      </c>
      <c r="H16">
        <f t="shared" si="1"/>
        <v>1.4457749435462202E-2</v>
      </c>
      <c r="K16" s="2">
        <v>41791</v>
      </c>
      <c r="L16" s="3">
        <v>143283676</v>
      </c>
      <c r="M16">
        <f t="shared" si="2"/>
        <v>3.2429207078690528E-2</v>
      </c>
      <c r="P16" s="2">
        <v>41791</v>
      </c>
      <c r="Q16" s="3">
        <v>44777447</v>
      </c>
      <c r="R16">
        <f t="shared" si="3"/>
        <v>8.6775827125651003E-4</v>
      </c>
      <c r="U16" s="2">
        <v>41791</v>
      </c>
      <c r="V16" s="3">
        <v>35852737</v>
      </c>
      <c r="W16">
        <f t="shared" si="4"/>
        <v>3.501188765588524E-2</v>
      </c>
      <c r="Z16" s="2">
        <v>41791</v>
      </c>
      <c r="AA16" s="3">
        <v>41820496</v>
      </c>
      <c r="AB16">
        <f t="shared" si="5"/>
        <v>-3.3974226417591985E-2</v>
      </c>
      <c r="AE16" s="2">
        <v>41791</v>
      </c>
      <c r="AF16" s="3">
        <v>20508612</v>
      </c>
      <c r="AG16">
        <f t="shared" si="6"/>
        <v>-3.3019006844539261E-2</v>
      </c>
      <c r="AJ16" s="2">
        <v>41791</v>
      </c>
      <c r="AK16" s="3">
        <v>81142197</v>
      </c>
      <c r="AL16">
        <f t="shared" si="7"/>
        <v>-0.11726722164054788</v>
      </c>
      <c r="AO16" s="2">
        <v>41791</v>
      </c>
      <c r="AP16" s="3">
        <v>1124023071</v>
      </c>
      <c r="AQ16">
        <f t="shared" si="8"/>
        <v>5.6386964498524962E-2</v>
      </c>
      <c r="AT16" s="2">
        <v>41791</v>
      </c>
      <c r="AU16" s="3">
        <v>71059998</v>
      </c>
      <c r="AV16">
        <f t="shared" si="9"/>
        <v>-0.11187724773085414</v>
      </c>
    </row>
    <row r="17" spans="1:48" x14ac:dyDescent="0.3">
      <c r="A17" s="2">
        <v>41821</v>
      </c>
      <c r="B17" s="3">
        <v>21282066</v>
      </c>
      <c r="C17">
        <f t="shared" si="0"/>
        <v>7.2175511531634193E-2</v>
      </c>
      <c r="F17" s="2">
        <v>41821</v>
      </c>
      <c r="G17" s="3">
        <v>16029875</v>
      </c>
      <c r="H17">
        <f t="shared" si="1"/>
        <v>0.12826594093840407</v>
      </c>
      <c r="K17" s="2">
        <v>41821</v>
      </c>
      <c r="L17" s="3">
        <v>147930252</v>
      </c>
      <c r="M17">
        <f t="shared" si="2"/>
        <v>3.6096416573399737E-2</v>
      </c>
      <c r="P17" s="2">
        <v>41821</v>
      </c>
      <c r="Q17" s="3">
        <v>44816303</v>
      </c>
      <c r="R17">
        <f t="shared" si="3"/>
        <v>3.8071636564934862E-2</v>
      </c>
      <c r="U17" s="2">
        <v>41821</v>
      </c>
      <c r="V17" s="3">
        <v>37108009</v>
      </c>
      <c r="W17">
        <f t="shared" si="4"/>
        <v>5.2595088030726739E-2</v>
      </c>
      <c r="Z17" s="2">
        <v>41821</v>
      </c>
      <c r="AA17" s="3">
        <v>40399677</v>
      </c>
      <c r="AB17">
        <f t="shared" si="5"/>
        <v>5.9451589179784776E-2</v>
      </c>
      <c r="AE17" s="2">
        <v>41821</v>
      </c>
      <c r="AF17" s="3">
        <v>19831438</v>
      </c>
      <c r="AG17">
        <f t="shared" si="6"/>
        <v>3.3076421387092554E-2</v>
      </c>
      <c r="AJ17" s="2">
        <v>41821</v>
      </c>
      <c r="AK17" s="3">
        <v>71626877</v>
      </c>
      <c r="AL17">
        <f t="shared" si="7"/>
        <v>2.7422387827965751E-2</v>
      </c>
      <c r="AO17" s="2">
        <v>41821</v>
      </c>
      <c r="AP17" s="3">
        <v>1187403320</v>
      </c>
      <c r="AQ17">
        <f t="shared" si="8"/>
        <v>0.1103789494204884</v>
      </c>
      <c r="AT17" s="2">
        <v>41821</v>
      </c>
      <c r="AU17" s="3">
        <v>63110001</v>
      </c>
      <c r="AV17">
        <f t="shared" si="9"/>
        <v>0.10410392799708559</v>
      </c>
    </row>
    <row r="18" spans="1:48" x14ac:dyDescent="0.3">
      <c r="A18" s="2">
        <v>41852</v>
      </c>
      <c r="B18" s="3">
        <v>22818110</v>
      </c>
      <c r="C18">
        <f t="shared" si="0"/>
        <v>-1.2184006475558231E-2</v>
      </c>
      <c r="F18" s="2">
        <v>41852</v>
      </c>
      <c r="G18" s="3">
        <v>18085962</v>
      </c>
      <c r="H18">
        <f t="shared" si="1"/>
        <v>-0.13052620590488911</v>
      </c>
      <c r="K18" s="2">
        <v>41852</v>
      </c>
      <c r="L18" s="3">
        <v>153270004</v>
      </c>
      <c r="M18">
        <f t="shared" si="2"/>
        <v>2.8079675655257371E-2</v>
      </c>
      <c r="P18" s="2">
        <v>41852</v>
      </c>
      <c r="Q18" s="3">
        <v>46522533</v>
      </c>
      <c r="R18">
        <f t="shared" si="3"/>
        <v>1.3288485388360088E-2</v>
      </c>
      <c r="U18" s="2">
        <v>41852</v>
      </c>
      <c r="V18" s="3">
        <v>39059708</v>
      </c>
      <c r="W18">
        <f t="shared" si="4"/>
        <v>2.6844389108080378E-2</v>
      </c>
      <c r="Z18" s="2">
        <v>41852</v>
      </c>
      <c r="AA18" s="3">
        <v>42801502</v>
      </c>
      <c r="AB18">
        <f t="shared" si="5"/>
        <v>-4.061787364378007E-2</v>
      </c>
      <c r="AE18" s="2">
        <v>41852</v>
      </c>
      <c r="AF18" s="3">
        <v>20487391</v>
      </c>
      <c r="AG18">
        <f t="shared" si="6"/>
        <v>6.1244499116554175E-3</v>
      </c>
      <c r="AJ18" s="2">
        <v>41852</v>
      </c>
      <c r="AK18" s="3">
        <v>73591057</v>
      </c>
      <c r="AL18">
        <f t="shared" si="7"/>
        <v>-6.9395076089204699E-2</v>
      </c>
      <c r="AO18" s="2">
        <v>41852</v>
      </c>
      <c r="AP18" s="3">
        <v>1318467651</v>
      </c>
      <c r="AQ18">
        <f t="shared" si="8"/>
        <v>5.3412558090892438E-2</v>
      </c>
      <c r="AT18" s="2">
        <v>41852</v>
      </c>
      <c r="AU18" s="3">
        <v>69680000</v>
      </c>
      <c r="AV18">
        <f t="shared" si="9"/>
        <v>-5.5539638346727899E-2</v>
      </c>
    </row>
    <row r="19" spans="1:48" x14ac:dyDescent="0.3">
      <c r="A19" s="2">
        <v>41883</v>
      </c>
      <c r="B19" s="3">
        <v>22540094</v>
      </c>
      <c r="C19">
        <f t="shared" si="0"/>
        <v>7.1960258905752569E-2</v>
      </c>
      <c r="F19" s="2">
        <v>41883</v>
      </c>
      <c r="G19" s="3">
        <v>15725270</v>
      </c>
      <c r="H19">
        <f t="shared" si="1"/>
        <v>-2.3002466730300975E-2</v>
      </c>
      <c r="K19" s="2">
        <v>41883</v>
      </c>
      <c r="L19" s="3">
        <v>157573776</v>
      </c>
      <c r="M19">
        <f t="shared" si="2"/>
        <v>3.4972748257298854E-2</v>
      </c>
      <c r="P19" s="2">
        <v>41883</v>
      </c>
      <c r="Q19" s="3">
        <v>47140747</v>
      </c>
      <c r="R19">
        <f t="shared" si="3"/>
        <v>3.9841753037982196E-3</v>
      </c>
      <c r="U19" s="2">
        <v>41883</v>
      </c>
      <c r="V19" s="3">
        <v>40108242</v>
      </c>
      <c r="W19">
        <f t="shared" si="4"/>
        <v>1.2726860479200261E-2</v>
      </c>
      <c r="Z19" s="2">
        <v>41883</v>
      </c>
      <c r="AA19" s="3">
        <v>41062996</v>
      </c>
      <c r="AB19">
        <f t="shared" si="5"/>
        <v>0.10657269138374609</v>
      </c>
      <c r="AE19" s="2">
        <v>41883</v>
      </c>
      <c r="AF19" s="3">
        <v>20612865</v>
      </c>
      <c r="AG19">
        <f t="shared" si="6"/>
        <v>1.2851149027561185E-2</v>
      </c>
      <c r="AJ19" s="2">
        <v>41883</v>
      </c>
      <c r="AK19" s="3">
        <v>68484200</v>
      </c>
      <c r="AL19">
        <f t="shared" si="7"/>
        <v>-6.3734846869788947E-2</v>
      </c>
      <c r="AO19" s="2">
        <v>41883</v>
      </c>
      <c r="AP19" s="3">
        <v>1388890381</v>
      </c>
      <c r="AQ19">
        <f t="shared" si="8"/>
        <v>-5.9154985248616246E-2</v>
      </c>
      <c r="AT19" s="2">
        <v>41883</v>
      </c>
      <c r="AU19" s="3">
        <v>65809998</v>
      </c>
      <c r="AV19">
        <f t="shared" si="9"/>
        <v>-0.10499918264698929</v>
      </c>
    </row>
    <row r="20" spans="1:48" x14ac:dyDescent="0.3">
      <c r="A20" s="2">
        <v>41913</v>
      </c>
      <c r="B20" s="3">
        <v>24162085</v>
      </c>
      <c r="C20">
        <f t="shared" si="0"/>
        <v>0.10120339366408156</v>
      </c>
      <c r="F20" s="2">
        <v>41913</v>
      </c>
      <c r="G20" s="3">
        <v>15363550</v>
      </c>
      <c r="H20">
        <f t="shared" si="1"/>
        <v>0.15861229989162662</v>
      </c>
      <c r="K20" s="2">
        <v>41913</v>
      </c>
      <c r="L20" s="3">
        <v>163084564</v>
      </c>
      <c r="M20">
        <f t="shared" si="2"/>
        <v>-8.3157471604731401E-3</v>
      </c>
      <c r="P20" s="2">
        <v>41913</v>
      </c>
      <c r="Q20" s="3">
        <v>47328564</v>
      </c>
      <c r="R20">
        <f t="shared" si="3"/>
        <v>1.4107336956177246E-3</v>
      </c>
      <c r="U20" s="2">
        <v>41913</v>
      </c>
      <c r="V20" s="3">
        <v>40618694</v>
      </c>
      <c r="W20">
        <f t="shared" si="4"/>
        <v>1.8317255596647198E-2</v>
      </c>
      <c r="Z20" s="2">
        <v>41913</v>
      </c>
      <c r="AA20" s="3">
        <v>45439190</v>
      </c>
      <c r="AB20">
        <f t="shared" si="5"/>
        <v>-5.9958375138289216E-3</v>
      </c>
      <c r="AE20" s="2">
        <v>41913</v>
      </c>
      <c r="AF20" s="3">
        <v>20877764</v>
      </c>
      <c r="AG20">
        <f t="shared" si="6"/>
        <v>4.0066455392445285E-2</v>
      </c>
      <c r="AJ20" s="2">
        <v>41913</v>
      </c>
      <c r="AK20" s="3">
        <v>64119370</v>
      </c>
      <c r="AL20">
        <f t="shared" si="7"/>
        <v>1.0891732092813763E-2</v>
      </c>
      <c r="AO20" s="2">
        <v>41913</v>
      </c>
      <c r="AP20" s="3">
        <v>1306730591</v>
      </c>
      <c r="AQ20">
        <f t="shared" si="8"/>
        <v>9.1317329541265785E-2</v>
      </c>
      <c r="AT20" s="2">
        <v>41913</v>
      </c>
      <c r="AU20" s="3">
        <v>58900002</v>
      </c>
      <c r="AV20">
        <f t="shared" si="9"/>
        <v>-0.17147712490739814</v>
      </c>
    </row>
    <row r="21" spans="1:48" x14ac:dyDescent="0.3">
      <c r="A21" s="2">
        <v>41944</v>
      </c>
      <c r="B21" s="3">
        <v>26607370</v>
      </c>
      <c r="C21">
        <f t="shared" si="0"/>
        <v>-6.7866384388986956E-2</v>
      </c>
      <c r="F21" s="2">
        <v>41944</v>
      </c>
      <c r="G21" s="3">
        <v>17800398</v>
      </c>
      <c r="H21">
        <f t="shared" si="1"/>
        <v>-9.0910888621703843E-3</v>
      </c>
      <c r="K21" s="2">
        <v>41944</v>
      </c>
      <c r="L21" s="3">
        <v>161728394</v>
      </c>
      <c r="M21">
        <f t="shared" si="2"/>
        <v>3.2051224103542386E-2</v>
      </c>
      <c r="P21" s="2">
        <v>41944</v>
      </c>
      <c r="Q21" s="3">
        <v>47395332</v>
      </c>
      <c r="R21">
        <f t="shared" si="3"/>
        <v>4.0226092307993538E-2</v>
      </c>
      <c r="U21" s="2">
        <v>41944</v>
      </c>
      <c r="V21" s="3">
        <v>41362717</v>
      </c>
      <c r="W21">
        <f t="shared" si="4"/>
        <v>-2.2318118028851926E-2</v>
      </c>
      <c r="Z21" s="2">
        <v>41944</v>
      </c>
      <c r="AA21" s="3">
        <v>45166744</v>
      </c>
      <c r="AB21">
        <f t="shared" si="5"/>
        <v>1.0638092486808436E-2</v>
      </c>
      <c r="AE21" s="2">
        <v>41944</v>
      </c>
      <c r="AF21" s="3">
        <v>21714262</v>
      </c>
      <c r="AG21">
        <f t="shared" si="6"/>
        <v>8.6608055111428613E-3</v>
      </c>
      <c r="AJ21" s="2">
        <v>41944</v>
      </c>
      <c r="AK21" s="3">
        <v>64817741</v>
      </c>
      <c r="AL21">
        <f t="shared" si="7"/>
        <v>-3.0303123337791116E-2</v>
      </c>
      <c r="AO21" s="2">
        <v>41944</v>
      </c>
      <c r="AP21" s="3">
        <v>1426057739</v>
      </c>
      <c r="AQ21">
        <f t="shared" si="8"/>
        <v>6.6666695464004624E-2</v>
      </c>
      <c r="AT21" s="2">
        <v>41944</v>
      </c>
      <c r="AU21" s="3">
        <v>48799999</v>
      </c>
      <c r="AV21">
        <f t="shared" si="9"/>
        <v>-8.6065596025934346E-2</v>
      </c>
    </row>
    <row r="22" spans="1:48" x14ac:dyDescent="0.3">
      <c r="A22" s="2">
        <v>41974</v>
      </c>
      <c r="B22" s="3">
        <v>24801624</v>
      </c>
      <c r="C22">
        <f t="shared" si="0"/>
        <v>6.1424445431476585E-2</v>
      </c>
      <c r="F22" s="2">
        <v>41974</v>
      </c>
      <c r="G22" s="3">
        <v>17638573</v>
      </c>
      <c r="H22">
        <f t="shared" si="1"/>
        <v>-1.7269424232901381E-2</v>
      </c>
      <c r="K22" s="2">
        <v>41974</v>
      </c>
      <c r="L22" s="3">
        <v>166911987</v>
      </c>
      <c r="M22">
        <f t="shared" si="2"/>
        <v>-0.11050875573124655</v>
      </c>
      <c r="P22" s="2">
        <v>41974</v>
      </c>
      <c r="Q22" s="3">
        <v>49301861</v>
      </c>
      <c r="R22">
        <f t="shared" si="3"/>
        <v>-0.13103237624234915</v>
      </c>
      <c r="U22" s="2">
        <v>41974</v>
      </c>
      <c r="V22" s="3">
        <v>40439579</v>
      </c>
      <c r="W22">
        <f t="shared" si="4"/>
        <v>-0.13024752310106888</v>
      </c>
      <c r="Z22" s="2">
        <v>41974</v>
      </c>
      <c r="AA22" s="3">
        <v>45647232</v>
      </c>
      <c r="AB22">
        <f t="shared" si="5"/>
        <v>5.328355945000126E-2</v>
      </c>
      <c r="AE22" s="2">
        <v>41974</v>
      </c>
      <c r="AF22" s="3">
        <v>21902325</v>
      </c>
      <c r="AG22">
        <f t="shared" si="6"/>
        <v>3.2105267363168066E-3</v>
      </c>
      <c r="AJ22" s="2">
        <v>41974</v>
      </c>
      <c r="AK22" s="3">
        <v>62853561</v>
      </c>
      <c r="AL22">
        <f t="shared" si="7"/>
        <v>0.26388902611261755</v>
      </c>
      <c r="AO22" s="2">
        <v>41974</v>
      </c>
      <c r="AP22" s="3">
        <v>1521128296</v>
      </c>
      <c r="AQ22">
        <f t="shared" si="8"/>
        <v>5.7613290891013705E-2</v>
      </c>
      <c r="AT22" s="2">
        <v>41974</v>
      </c>
      <c r="AU22" s="3">
        <v>44599998</v>
      </c>
      <c r="AV22">
        <f t="shared" si="9"/>
        <v>-5.1121033682557562E-2</v>
      </c>
    </row>
    <row r="23" spans="1:48" x14ac:dyDescent="0.3">
      <c r="A23" s="2">
        <v>42005</v>
      </c>
      <c r="B23" s="3">
        <v>26325050</v>
      </c>
      <c r="C23">
        <f t="shared" si="0"/>
        <v>9.6448857646994027E-2</v>
      </c>
      <c r="F23" s="2">
        <v>42005</v>
      </c>
      <c r="G23" s="3">
        <v>17333965</v>
      </c>
      <c r="H23">
        <f t="shared" si="1"/>
        <v>1.9769394942242009E-2</v>
      </c>
      <c r="K23" s="2">
        <v>42005</v>
      </c>
      <c r="L23" s="3">
        <v>148466751</v>
      </c>
      <c r="M23">
        <f t="shared" si="2"/>
        <v>0.10080568813686776</v>
      </c>
      <c r="P23" s="2">
        <v>42005</v>
      </c>
      <c r="Q23" s="3">
        <v>42841721</v>
      </c>
      <c r="R23">
        <f t="shared" si="3"/>
        <v>0.13413401389734086</v>
      </c>
      <c r="U23" s="2">
        <v>42005</v>
      </c>
      <c r="V23" s="3">
        <v>35172424</v>
      </c>
      <c r="W23">
        <f t="shared" si="4"/>
        <v>8.5395934041964244E-2</v>
      </c>
      <c r="Z23" s="2">
        <v>42005</v>
      </c>
      <c r="AA23" s="3">
        <v>48079479</v>
      </c>
      <c r="AB23">
        <f t="shared" si="5"/>
        <v>-3.6694012428878438E-2</v>
      </c>
      <c r="AE23" s="2">
        <v>42005</v>
      </c>
      <c r="AF23" s="3">
        <v>21972643</v>
      </c>
      <c r="AG23">
        <f t="shared" si="6"/>
        <v>9.8239888574169251E-2</v>
      </c>
      <c r="AJ23" s="2">
        <v>42005</v>
      </c>
      <c r="AK23" s="3">
        <v>79439926</v>
      </c>
      <c r="AL23">
        <f t="shared" si="7"/>
        <v>1.6483273159141663E-3</v>
      </c>
      <c r="AO23" s="2">
        <v>42005</v>
      </c>
      <c r="AP23" s="3">
        <v>1608765503</v>
      </c>
      <c r="AQ23">
        <f t="shared" si="8"/>
        <v>-4.3776442165542884E-3</v>
      </c>
      <c r="AT23" s="2">
        <v>42005</v>
      </c>
      <c r="AU23" s="3">
        <v>42320000</v>
      </c>
      <c r="AV23">
        <f t="shared" si="9"/>
        <v>0.41186200378071836</v>
      </c>
    </row>
    <row r="24" spans="1:48" x14ac:dyDescent="0.3">
      <c r="A24" s="2">
        <v>42036</v>
      </c>
      <c r="B24" s="3">
        <v>28864071</v>
      </c>
      <c r="C24">
        <f t="shared" si="0"/>
        <v>-2.7548782013458877E-2</v>
      </c>
      <c r="F24" s="2">
        <v>42036</v>
      </c>
      <c r="G24" s="3">
        <v>17676647</v>
      </c>
      <c r="H24">
        <f t="shared" si="1"/>
        <v>-0.11847048820967009</v>
      </c>
      <c r="K24" s="2">
        <v>42036</v>
      </c>
      <c r="L24" s="3">
        <v>163433044</v>
      </c>
      <c r="M24">
        <f t="shared" si="2"/>
        <v>-6.4800298279948819E-3</v>
      </c>
      <c r="P24" s="2">
        <v>42036</v>
      </c>
      <c r="Q24" s="3">
        <v>48588253</v>
      </c>
      <c r="R24">
        <f t="shared" si="3"/>
        <v>-1.1422760970640372E-2</v>
      </c>
      <c r="U24" s="2">
        <v>42036</v>
      </c>
      <c r="V24" s="3">
        <v>38176006</v>
      </c>
      <c r="W24">
        <f t="shared" si="4"/>
        <v>-6.6149245680650823E-2</v>
      </c>
      <c r="Z24" s="2">
        <v>42036</v>
      </c>
      <c r="AA24" s="3">
        <v>46315250</v>
      </c>
      <c r="AB24">
        <f t="shared" si="5"/>
        <v>8.0198422765719712E-3</v>
      </c>
      <c r="AE24" s="2">
        <v>42036</v>
      </c>
      <c r="AF24" s="3">
        <v>24131233</v>
      </c>
      <c r="AG24">
        <f t="shared" si="6"/>
        <v>2.263726018475724E-2</v>
      </c>
      <c r="AJ24" s="2">
        <v>42036</v>
      </c>
      <c r="AK24" s="3">
        <v>79570869</v>
      </c>
      <c r="AL24">
        <f t="shared" si="7"/>
        <v>-7.295671233652104E-2</v>
      </c>
      <c r="AO24" s="2">
        <v>42036</v>
      </c>
      <c r="AP24" s="3">
        <v>1601722900</v>
      </c>
      <c r="AQ24">
        <f t="shared" si="8"/>
        <v>-3.2730639613131586E-2</v>
      </c>
      <c r="AT24" s="2">
        <v>42036</v>
      </c>
      <c r="AU24" s="3">
        <v>59750000</v>
      </c>
      <c r="AV24">
        <f t="shared" si="9"/>
        <v>6.6947280334728036E-4</v>
      </c>
    </row>
    <row r="25" spans="1:48" x14ac:dyDescent="0.3">
      <c r="A25" s="2">
        <v>42064</v>
      </c>
      <c r="B25" s="3">
        <v>28068901</v>
      </c>
      <c r="C25">
        <f t="shared" si="0"/>
        <v>5.7864752168244847E-3</v>
      </c>
      <c r="F25" s="2">
        <v>42064</v>
      </c>
      <c r="G25" s="3">
        <v>15582486</v>
      </c>
      <c r="H25">
        <f t="shared" si="1"/>
        <v>9.1631078635334567E-3</v>
      </c>
      <c r="K25" s="2">
        <v>42064</v>
      </c>
      <c r="L25" s="3">
        <v>162373993</v>
      </c>
      <c r="M25">
        <f t="shared" si="2"/>
        <v>4.4953633677038418E-2</v>
      </c>
      <c r="P25" s="2">
        <v>42064</v>
      </c>
      <c r="Q25" s="3">
        <v>48033241</v>
      </c>
      <c r="R25">
        <f t="shared" si="3"/>
        <v>4.4238842846353009E-2</v>
      </c>
      <c r="U25" s="2">
        <v>42064</v>
      </c>
      <c r="V25" s="3">
        <v>35650692</v>
      </c>
      <c r="W25">
        <f t="shared" si="4"/>
        <v>0.19626188462204325</v>
      </c>
      <c r="Z25" s="2">
        <v>42064</v>
      </c>
      <c r="AA25" s="3">
        <v>46686691</v>
      </c>
      <c r="AB25">
        <f t="shared" si="5"/>
        <v>5.718696148330581E-3</v>
      </c>
      <c r="AE25" s="2">
        <v>42064</v>
      </c>
      <c r="AF25" s="3">
        <v>24677498</v>
      </c>
      <c r="AG25">
        <f t="shared" si="6"/>
        <v>-2.4719848017007235E-2</v>
      </c>
      <c r="AJ25" s="2">
        <v>42064</v>
      </c>
      <c r="AK25" s="3">
        <v>73765640</v>
      </c>
      <c r="AL25">
        <f t="shared" si="7"/>
        <v>-2.7218905712741055E-2</v>
      </c>
      <c r="AO25" s="2">
        <v>42064</v>
      </c>
      <c r="AP25" s="3">
        <v>1549297485</v>
      </c>
      <c r="AQ25">
        <f t="shared" si="8"/>
        <v>2.282662648226012E-2</v>
      </c>
      <c r="AT25" s="2">
        <v>42064</v>
      </c>
      <c r="AU25" s="3">
        <v>59790001</v>
      </c>
      <c r="AV25">
        <f t="shared" si="9"/>
        <v>-2.0070747280970945E-3</v>
      </c>
    </row>
    <row r="26" spans="1:48" x14ac:dyDescent="0.3">
      <c r="A26" s="2">
        <v>42095</v>
      </c>
      <c r="B26" s="3">
        <v>28231321</v>
      </c>
      <c r="C26">
        <f t="shared" si="0"/>
        <v>4.0990890932804738E-2</v>
      </c>
      <c r="F26" s="2">
        <v>42095</v>
      </c>
      <c r="G26" s="3">
        <v>15725270</v>
      </c>
      <c r="H26">
        <f t="shared" si="1"/>
        <v>4.3583544193517822E-2</v>
      </c>
      <c r="K26" s="2">
        <v>42095</v>
      </c>
      <c r="L26" s="3">
        <v>169673294</v>
      </c>
      <c r="M26">
        <f t="shared" si="2"/>
        <v>4.9740868471616989E-2</v>
      </c>
      <c r="P26" s="2">
        <v>42095</v>
      </c>
      <c r="Q26" s="3">
        <v>50158176</v>
      </c>
      <c r="R26">
        <f t="shared" si="3"/>
        <v>4.6747194315837959E-2</v>
      </c>
      <c r="U26" s="2">
        <v>42095</v>
      </c>
      <c r="V26" s="3">
        <v>42647564</v>
      </c>
      <c r="W26">
        <f t="shared" si="4"/>
        <v>-3.6595454783771471E-2</v>
      </c>
      <c r="Z26" s="2">
        <v>42095</v>
      </c>
      <c r="AA26" s="3">
        <v>46953678</v>
      </c>
      <c r="AB26">
        <f t="shared" si="5"/>
        <v>-3.0264380992688154E-2</v>
      </c>
      <c r="AE26" s="2">
        <v>42095</v>
      </c>
      <c r="AF26" s="3">
        <v>24067474</v>
      </c>
      <c r="AG26">
        <f t="shared" si="6"/>
        <v>2.4167388733857154E-2</v>
      </c>
      <c r="AJ26" s="2">
        <v>42095</v>
      </c>
      <c r="AK26" s="3">
        <v>71757820</v>
      </c>
      <c r="AL26">
        <f t="shared" si="7"/>
        <v>2.1289484546771348E-2</v>
      </c>
      <c r="AO26" s="2">
        <v>42095</v>
      </c>
      <c r="AP26" s="3">
        <v>1584662720</v>
      </c>
      <c r="AQ26">
        <f t="shared" si="8"/>
        <v>0.24230182874498365</v>
      </c>
      <c r="AT26" s="2">
        <v>42095</v>
      </c>
      <c r="AU26" s="3">
        <v>59669998</v>
      </c>
      <c r="AV26">
        <f t="shared" si="9"/>
        <v>-0.16691803810685565</v>
      </c>
    </row>
    <row r="27" spans="1:48" x14ac:dyDescent="0.3">
      <c r="A27" s="2">
        <v>42125</v>
      </c>
      <c r="B27" s="3">
        <v>29388548</v>
      </c>
      <c r="C27">
        <f t="shared" si="0"/>
        <v>-3.3206063804172972E-2</v>
      </c>
      <c r="F27" s="2">
        <v>42125</v>
      </c>
      <c r="G27" s="3">
        <v>16410633</v>
      </c>
      <c r="H27">
        <f t="shared" si="1"/>
        <v>-1.8610860409833063E-2</v>
      </c>
      <c r="K27" s="2">
        <v>42125</v>
      </c>
      <c r="L27" s="3">
        <v>178112991</v>
      </c>
      <c r="M27">
        <f t="shared" si="2"/>
        <v>1.5767839191471442E-2</v>
      </c>
      <c r="P27" s="2">
        <v>42125</v>
      </c>
      <c r="Q27" s="3">
        <v>52502930</v>
      </c>
      <c r="R27">
        <f t="shared" si="3"/>
        <v>3.0100262975799635E-2</v>
      </c>
      <c r="U27" s="2">
        <v>42125</v>
      </c>
      <c r="V27" s="3">
        <v>41086857</v>
      </c>
      <c r="W27">
        <f t="shared" si="4"/>
        <v>-5.1708846943439843E-2</v>
      </c>
      <c r="Z27" s="2">
        <v>42125</v>
      </c>
      <c r="AA27" s="3">
        <v>45532654</v>
      </c>
      <c r="AB27">
        <f t="shared" si="5"/>
        <v>-7.4264460841663216E-2</v>
      </c>
      <c r="AE27" s="2">
        <v>42125</v>
      </c>
      <c r="AF27" s="3">
        <v>24649122</v>
      </c>
      <c r="AG27">
        <f t="shared" si="6"/>
        <v>-2.7124008717227331E-2</v>
      </c>
      <c r="AJ27" s="2">
        <v>42125</v>
      </c>
      <c r="AK27" s="3">
        <v>73285507</v>
      </c>
      <c r="AL27">
        <f t="shared" si="7"/>
        <v>3.9508193618691893E-2</v>
      </c>
      <c r="AO27" s="2">
        <v>42125</v>
      </c>
      <c r="AP27" s="3">
        <v>1968629395</v>
      </c>
      <c r="AQ27">
        <f t="shared" si="8"/>
        <v>-5.8512823334124803E-2</v>
      </c>
      <c r="AT27" s="2">
        <v>42125</v>
      </c>
      <c r="AU27" s="3">
        <v>49709999</v>
      </c>
      <c r="AV27">
        <f t="shared" si="9"/>
        <v>-5.4918508447364886E-2</v>
      </c>
    </row>
    <row r="28" spans="1:48" x14ac:dyDescent="0.3">
      <c r="A28" s="2">
        <v>42156</v>
      </c>
      <c r="B28" s="3">
        <v>28412670</v>
      </c>
      <c r="C28">
        <f t="shared" si="0"/>
        <v>-3.2926613373540747E-2</v>
      </c>
      <c r="F28" s="2">
        <v>42156</v>
      </c>
      <c r="G28" s="3">
        <v>16105217</v>
      </c>
      <c r="H28">
        <f t="shared" si="1"/>
        <v>2.1428584290419682E-2</v>
      </c>
      <c r="K28" s="2">
        <v>42156</v>
      </c>
      <c r="L28" s="3">
        <v>180921448</v>
      </c>
      <c r="M28">
        <f t="shared" si="2"/>
        <v>-1.7817356845386292E-2</v>
      </c>
      <c r="P28" s="2">
        <v>42156</v>
      </c>
      <c r="Q28" s="3">
        <v>54083282</v>
      </c>
      <c r="R28">
        <f t="shared" si="3"/>
        <v>1.1363918336169022E-2</v>
      </c>
      <c r="U28" s="2">
        <v>42156</v>
      </c>
      <c r="V28" s="3">
        <v>38962303</v>
      </c>
      <c r="W28">
        <f t="shared" si="4"/>
        <v>5.7757828124276947E-2</v>
      </c>
      <c r="Z28" s="2">
        <v>42156</v>
      </c>
      <c r="AA28" s="3">
        <v>42151196</v>
      </c>
      <c r="AB28">
        <f t="shared" si="5"/>
        <v>6.7447979412019535E-2</v>
      </c>
      <c r="AE28" s="2">
        <v>42156</v>
      </c>
      <c r="AF28" s="3">
        <v>23980539</v>
      </c>
      <c r="AG28">
        <f t="shared" si="6"/>
        <v>7.5454475814742947E-2</v>
      </c>
      <c r="AJ28" s="2">
        <v>42156</v>
      </c>
      <c r="AK28" s="3">
        <v>76180885</v>
      </c>
      <c r="AL28">
        <f t="shared" si="7"/>
        <v>7.9812081468993171E-2</v>
      </c>
      <c r="AO28" s="2">
        <v>42156</v>
      </c>
      <c r="AP28" s="3">
        <v>1853439331</v>
      </c>
      <c r="AQ28">
        <f t="shared" si="8"/>
        <v>1.9853359311279233E-2</v>
      </c>
      <c r="AT28" s="2">
        <v>42156</v>
      </c>
      <c r="AU28" s="3">
        <v>46980000</v>
      </c>
      <c r="AV28">
        <f t="shared" si="9"/>
        <v>-5.704557258407833E-2</v>
      </c>
    </row>
    <row r="29" spans="1:48" x14ac:dyDescent="0.3">
      <c r="A29" s="2">
        <v>42186</v>
      </c>
      <c r="B29" s="3">
        <v>27477137</v>
      </c>
      <c r="C29">
        <f t="shared" si="0"/>
        <v>-7.0403987140290489E-2</v>
      </c>
      <c r="F29" s="2">
        <v>42186</v>
      </c>
      <c r="G29" s="3">
        <v>16450329</v>
      </c>
      <c r="H29">
        <f t="shared" si="1"/>
        <v>-5.5361445962570109E-2</v>
      </c>
      <c r="K29" s="2">
        <v>42186</v>
      </c>
      <c r="L29" s="3">
        <v>177697906</v>
      </c>
      <c r="M29">
        <f t="shared" si="2"/>
        <v>-8.0314035889651955E-2</v>
      </c>
      <c r="P29" s="2">
        <v>42186</v>
      </c>
      <c r="Q29" s="3">
        <v>54697880</v>
      </c>
      <c r="R29">
        <f t="shared" si="3"/>
        <v>-5.8529910117174559E-2</v>
      </c>
      <c r="U29" s="2">
        <v>42186</v>
      </c>
      <c r="V29" s="3">
        <v>41212681</v>
      </c>
      <c r="W29">
        <f t="shared" si="4"/>
        <v>-6.8094356685991869E-2</v>
      </c>
      <c r="Z29" s="2">
        <v>42186</v>
      </c>
      <c r="AA29" s="3">
        <v>44994209</v>
      </c>
      <c r="AB29">
        <f t="shared" si="5"/>
        <v>5.7814106699819975E-4</v>
      </c>
      <c r="AE29" s="2">
        <v>42186</v>
      </c>
      <c r="AF29" s="3">
        <v>25789978</v>
      </c>
      <c r="AG29">
        <f t="shared" si="6"/>
        <v>-0.10648884617117549</v>
      </c>
      <c r="AJ29" s="2">
        <v>42186</v>
      </c>
      <c r="AK29" s="3">
        <v>82261040</v>
      </c>
      <c r="AL29">
        <f t="shared" si="7"/>
        <v>-0.1135869544075786</v>
      </c>
      <c r="AO29" s="2">
        <v>42186</v>
      </c>
      <c r="AP29" s="3">
        <v>1890236328</v>
      </c>
      <c r="AQ29">
        <f t="shared" si="8"/>
        <v>2.5390682259705255E-3</v>
      </c>
      <c r="AT29" s="2">
        <v>42186</v>
      </c>
      <c r="AU29" s="3">
        <v>44299999</v>
      </c>
      <c r="AV29">
        <f t="shared" si="9"/>
        <v>7.9909730923470229E-2</v>
      </c>
    </row>
    <row r="30" spans="1:48" x14ac:dyDescent="0.3">
      <c r="A30" s="2">
        <v>42217</v>
      </c>
      <c r="B30" s="3">
        <v>25542637</v>
      </c>
      <c r="C30">
        <f t="shared" si="0"/>
        <v>-1.7388376932264277E-2</v>
      </c>
      <c r="F30" s="2">
        <v>42217</v>
      </c>
      <c r="G30" s="3">
        <v>15539615</v>
      </c>
      <c r="H30">
        <f t="shared" si="1"/>
        <v>6.1687499979890112E-4</v>
      </c>
      <c r="K30" s="2">
        <v>42217</v>
      </c>
      <c r="L30" s="3">
        <v>163426270</v>
      </c>
      <c r="M30">
        <f t="shared" si="2"/>
        <v>-7.5508784481222016E-2</v>
      </c>
      <c r="P30" s="2">
        <v>42217</v>
      </c>
      <c r="Q30" s="3">
        <v>51496418</v>
      </c>
      <c r="R30">
        <f t="shared" si="3"/>
        <v>-4.8829959396399183E-2</v>
      </c>
      <c r="U30" s="2">
        <v>42217</v>
      </c>
      <c r="V30" s="3">
        <v>38406330</v>
      </c>
      <c r="W30">
        <f t="shared" si="4"/>
        <v>2.3710310253544142E-2</v>
      </c>
      <c r="Z30" s="2">
        <v>42217</v>
      </c>
      <c r="AA30" s="3">
        <v>45020222</v>
      </c>
      <c r="AB30">
        <f t="shared" si="5"/>
        <v>6.7488205633459558E-2</v>
      </c>
      <c r="AE30" s="2">
        <v>42217</v>
      </c>
      <c r="AF30" s="3">
        <v>23043633</v>
      </c>
      <c r="AG30">
        <f t="shared" si="6"/>
        <v>-1.7521759698221197E-2</v>
      </c>
      <c r="AJ30" s="2">
        <v>42217</v>
      </c>
      <c r="AK30" s="3">
        <v>72917259</v>
      </c>
      <c r="AL30">
        <f t="shared" si="7"/>
        <v>-3.9852732259176113E-2</v>
      </c>
      <c r="AO30" s="2">
        <v>42217</v>
      </c>
      <c r="AP30" s="3">
        <v>1895035767</v>
      </c>
      <c r="AQ30">
        <f t="shared" si="8"/>
        <v>-0.14309842627893787</v>
      </c>
      <c r="AT30" s="2">
        <v>42217</v>
      </c>
      <c r="AU30" s="3">
        <v>47840000</v>
      </c>
      <c r="AV30">
        <f t="shared" si="9"/>
        <v>-0.10639632107023411</v>
      </c>
    </row>
    <row r="31" spans="1:48" x14ac:dyDescent="0.3">
      <c r="A31" s="2">
        <v>42248</v>
      </c>
      <c r="B31" s="3">
        <v>25098492</v>
      </c>
      <c r="C31">
        <f t="shared" si="0"/>
        <v>8.3408636662314212E-2</v>
      </c>
      <c r="F31" s="2">
        <v>42248</v>
      </c>
      <c r="G31" s="3">
        <v>15549201</v>
      </c>
      <c r="H31">
        <f t="shared" si="1"/>
        <v>1.5413074922627857E-2</v>
      </c>
      <c r="K31" s="2">
        <v>42248</v>
      </c>
      <c r="L31" s="3">
        <v>151086151</v>
      </c>
      <c r="M31">
        <f t="shared" si="2"/>
        <v>7.9074236261402933E-2</v>
      </c>
      <c r="P31" s="2">
        <v>42248</v>
      </c>
      <c r="Q31" s="3">
        <v>48981850</v>
      </c>
      <c r="R31">
        <f t="shared" si="3"/>
        <v>5.3796865573676779E-2</v>
      </c>
      <c r="U31" s="2">
        <v>42248</v>
      </c>
      <c r="V31" s="3">
        <v>39316956</v>
      </c>
      <c r="W31">
        <f t="shared" si="4"/>
        <v>0.18933569017906676</v>
      </c>
      <c r="Z31" s="2">
        <v>42248</v>
      </c>
      <c r="AA31" s="3">
        <v>48058556</v>
      </c>
      <c r="AB31">
        <f t="shared" si="5"/>
        <v>4.1394106805872403E-2</v>
      </c>
      <c r="AE31" s="2">
        <v>42248</v>
      </c>
      <c r="AF31" s="3">
        <v>22639868</v>
      </c>
      <c r="AG31">
        <f t="shared" si="6"/>
        <v>7.6727567492884674E-2</v>
      </c>
      <c r="AJ31" s="2">
        <v>42248</v>
      </c>
      <c r="AK31" s="3">
        <v>70011307</v>
      </c>
      <c r="AL31">
        <f t="shared" si="7"/>
        <v>-2.6181385243957807E-2</v>
      </c>
      <c r="AO31" s="2">
        <v>42248</v>
      </c>
      <c r="AP31" s="3">
        <v>1623859131</v>
      </c>
      <c r="AQ31">
        <f t="shared" si="8"/>
        <v>8.6207083069941487E-2</v>
      </c>
      <c r="AT31" s="2">
        <v>42248</v>
      </c>
      <c r="AU31" s="3">
        <v>42750000</v>
      </c>
      <c r="AV31">
        <f t="shared" si="9"/>
        <v>0.33497076023391814</v>
      </c>
    </row>
    <row r="32" spans="1:48" x14ac:dyDescent="0.3">
      <c r="A32" s="2">
        <v>42278</v>
      </c>
      <c r="B32" s="3">
        <v>27191923</v>
      </c>
      <c r="C32">
        <f t="shared" si="0"/>
        <v>-1.0041952531271879E-2</v>
      </c>
      <c r="F32" s="2">
        <v>42278</v>
      </c>
      <c r="G32" s="3">
        <v>15788862</v>
      </c>
      <c r="H32">
        <f t="shared" si="1"/>
        <v>1.2144637149909855E-3</v>
      </c>
      <c r="K32" s="2">
        <v>42278</v>
      </c>
      <c r="L32" s="3">
        <v>163033173</v>
      </c>
      <c r="M32">
        <f t="shared" si="2"/>
        <v>1.3440160426737201E-2</v>
      </c>
      <c r="P32" s="2">
        <v>42278</v>
      </c>
      <c r="Q32" s="3">
        <v>51616920</v>
      </c>
      <c r="R32">
        <f t="shared" si="3"/>
        <v>4.5309309427993764E-2</v>
      </c>
      <c r="U32" s="2">
        <v>42278</v>
      </c>
      <c r="V32" s="3">
        <v>46761059</v>
      </c>
      <c r="W32">
        <f t="shared" si="4"/>
        <v>3.2484893038885194E-2</v>
      </c>
      <c r="Z32" s="2">
        <v>42278</v>
      </c>
      <c r="AA32" s="3">
        <v>50047897</v>
      </c>
      <c r="AB32">
        <f t="shared" si="5"/>
        <v>6.9734598438771561E-3</v>
      </c>
      <c r="AE32" s="2">
        <v>42278</v>
      </c>
      <c r="AF32" s="3">
        <v>24376970</v>
      </c>
      <c r="AG32">
        <f t="shared" si="6"/>
        <v>-3.1047090758203336E-2</v>
      </c>
      <c r="AJ32" s="2">
        <v>42278</v>
      </c>
      <c r="AK32" s="3">
        <v>68178314</v>
      </c>
      <c r="AL32">
        <f t="shared" si="7"/>
        <v>-1.114760626084124E-2</v>
      </c>
      <c r="AO32" s="2">
        <v>42278</v>
      </c>
      <c r="AP32" s="3">
        <v>1763847290</v>
      </c>
      <c r="AQ32">
        <f t="shared" si="8"/>
        <v>-9.2970542818363824E-2</v>
      </c>
      <c r="AT32" s="2">
        <v>42278</v>
      </c>
      <c r="AU32" s="3">
        <v>57070000</v>
      </c>
      <c r="AV32">
        <f t="shared" si="9"/>
        <v>-9.8125459961450855E-3</v>
      </c>
    </row>
    <row r="33" spans="1:48" x14ac:dyDescent="0.3">
      <c r="A33" s="2">
        <v>42309</v>
      </c>
      <c r="B33" s="3">
        <v>26918863</v>
      </c>
      <c r="C33">
        <f t="shared" si="0"/>
        <v>-0.10641942789336979</v>
      </c>
      <c r="F33" s="2">
        <v>42309</v>
      </c>
      <c r="G33" s="3">
        <v>15808037</v>
      </c>
      <c r="H33">
        <f t="shared" si="1"/>
        <v>-1.0309439432612665E-2</v>
      </c>
      <c r="K33" s="2">
        <v>42309</v>
      </c>
      <c r="L33" s="3">
        <v>165224365</v>
      </c>
      <c r="M33">
        <f t="shared" si="2"/>
        <v>-4.827309216773204E-2</v>
      </c>
      <c r="P33" s="2">
        <v>42309</v>
      </c>
      <c r="Q33" s="3">
        <v>53955647</v>
      </c>
      <c r="R33">
        <f t="shared" si="3"/>
        <v>-9.7479324082611774E-3</v>
      </c>
      <c r="U33" s="2">
        <v>42309</v>
      </c>
      <c r="V33" s="3">
        <v>48280087</v>
      </c>
      <c r="W33">
        <f t="shared" si="4"/>
        <v>2.7671594709429582E-2</v>
      </c>
      <c r="Z33" s="2">
        <v>42309</v>
      </c>
      <c r="AA33" s="3">
        <v>50396904</v>
      </c>
      <c r="AB33">
        <f t="shared" si="5"/>
        <v>4.0554911865220929E-2</v>
      </c>
      <c r="AE33" s="2">
        <v>42309</v>
      </c>
      <c r="AF33" s="3">
        <v>23620136</v>
      </c>
      <c r="AG33">
        <f t="shared" si="6"/>
        <v>-7.0016531657565396E-3</v>
      </c>
      <c r="AJ33" s="2">
        <v>42309</v>
      </c>
      <c r="AK33" s="3">
        <v>67418289</v>
      </c>
      <c r="AL33">
        <f t="shared" si="7"/>
        <v>-3.1167017602597418E-2</v>
      </c>
      <c r="AO33" s="2">
        <v>42309</v>
      </c>
      <c r="AP33" s="3">
        <v>1599861450</v>
      </c>
      <c r="AQ33">
        <f t="shared" si="8"/>
        <v>-1.2500014298113126E-2</v>
      </c>
      <c r="AT33" s="2">
        <v>42309</v>
      </c>
      <c r="AU33" s="3">
        <v>56509998</v>
      </c>
      <c r="AV33">
        <f t="shared" si="9"/>
        <v>0.16775792488968058</v>
      </c>
    </row>
    <row r="34" spans="1:48" x14ac:dyDescent="0.3">
      <c r="A34" s="2">
        <v>42339</v>
      </c>
      <c r="B34" s="3">
        <v>24054173</v>
      </c>
      <c r="C34">
        <f t="shared" si="0"/>
        <v>-7.5242121190364761E-2</v>
      </c>
      <c r="F34" s="2">
        <v>42339</v>
      </c>
      <c r="G34" s="3">
        <v>15645065</v>
      </c>
      <c r="H34">
        <f t="shared" si="1"/>
        <v>-5.3921540115045866E-2</v>
      </c>
      <c r="K34" s="2">
        <v>42339</v>
      </c>
      <c r="L34" s="3">
        <v>157248474</v>
      </c>
      <c r="M34">
        <f t="shared" si="2"/>
        <v>-0.10358988920935411</v>
      </c>
      <c r="P34" s="2">
        <v>42339</v>
      </c>
      <c r="Q34" s="3">
        <v>53429691</v>
      </c>
      <c r="R34">
        <f t="shared" si="3"/>
        <v>-9.8894470492071535E-2</v>
      </c>
      <c r="U34" s="2">
        <v>42339</v>
      </c>
      <c r="V34" s="3">
        <v>49616074</v>
      </c>
      <c r="W34">
        <f t="shared" si="4"/>
        <v>-7.0297782932200563E-3</v>
      </c>
      <c r="Z34" s="2">
        <v>42339</v>
      </c>
      <c r="AA34" s="3">
        <v>52440746</v>
      </c>
      <c r="AB34">
        <f t="shared" si="5"/>
        <v>8.6359774515793505E-2</v>
      </c>
      <c r="AE34" s="2">
        <v>42339</v>
      </c>
      <c r="AF34" s="3">
        <v>23454756</v>
      </c>
      <c r="AG34">
        <f t="shared" si="6"/>
        <v>-5.5452250281350188E-2</v>
      </c>
      <c r="AJ34" s="2">
        <v>42339</v>
      </c>
      <c r="AK34" s="3">
        <v>65317062</v>
      </c>
      <c r="AL34">
        <f t="shared" si="7"/>
        <v>-6.1601974687716362E-3</v>
      </c>
      <c r="AO34" s="2">
        <v>42339</v>
      </c>
      <c r="AP34" s="3">
        <v>1579863159</v>
      </c>
      <c r="AQ34">
        <f t="shared" si="8"/>
        <v>-0.1660759778499272</v>
      </c>
      <c r="AT34" s="2">
        <v>42339</v>
      </c>
      <c r="AU34" s="3">
        <v>65989998</v>
      </c>
      <c r="AV34">
        <f t="shared" si="9"/>
        <v>4.0460768009115564E-2</v>
      </c>
    </row>
    <row r="35" spans="1:48" x14ac:dyDescent="0.3">
      <c r="A35" s="2">
        <v>42370</v>
      </c>
      <c r="B35" s="3">
        <v>22244286</v>
      </c>
      <c r="C35">
        <f t="shared" si="0"/>
        <v>-6.677624986479674E-3</v>
      </c>
      <c r="F35" s="2">
        <v>42370</v>
      </c>
      <c r="G35" s="3">
        <v>14801459</v>
      </c>
      <c r="H35">
        <f t="shared" si="1"/>
        <v>-4.0802937061812622E-2</v>
      </c>
      <c r="K35" s="2">
        <v>42370</v>
      </c>
      <c r="L35" s="3">
        <v>140959122</v>
      </c>
      <c r="M35">
        <f t="shared" si="2"/>
        <v>-7.4461431449608484E-2</v>
      </c>
      <c r="P35" s="2">
        <v>42370</v>
      </c>
      <c r="Q35" s="3">
        <v>48145790</v>
      </c>
      <c r="R35">
        <f t="shared" si="3"/>
        <v>-4.7434095483738038E-2</v>
      </c>
      <c r="U35" s="2">
        <v>42370</v>
      </c>
      <c r="V35" s="3">
        <v>49267284</v>
      </c>
      <c r="W35">
        <f t="shared" si="4"/>
        <v>-7.6420409129920777E-2</v>
      </c>
      <c r="Z35" s="2">
        <v>42370</v>
      </c>
      <c r="AA35" s="3">
        <v>56969517</v>
      </c>
      <c r="AB35">
        <f t="shared" si="5"/>
        <v>-1.3864783161142125E-3</v>
      </c>
      <c r="AE35" s="2">
        <v>42370</v>
      </c>
      <c r="AF35" s="3">
        <v>22154137</v>
      </c>
      <c r="AG35">
        <f t="shared" si="6"/>
        <v>-2.6894119143526105E-2</v>
      </c>
      <c r="AJ35" s="2">
        <v>42370</v>
      </c>
      <c r="AK35" s="3">
        <v>64914696</v>
      </c>
      <c r="AL35">
        <f t="shared" si="7"/>
        <v>-3.7878772473955664E-2</v>
      </c>
      <c r="AO35" s="2">
        <v>42370</v>
      </c>
      <c r="AP35" s="3">
        <v>1317485840</v>
      </c>
      <c r="AQ35">
        <f t="shared" si="8"/>
        <v>2.1250654200579491E-2</v>
      </c>
      <c r="AT35" s="2">
        <v>42370</v>
      </c>
      <c r="AU35" s="3">
        <v>68660004</v>
      </c>
      <c r="AV35">
        <f t="shared" si="9"/>
        <v>4.6752094567311706E-2</v>
      </c>
    </row>
    <row r="36" spans="1:48" x14ac:dyDescent="0.3">
      <c r="A36" s="2">
        <v>42401</v>
      </c>
      <c r="B36" s="3">
        <v>22095747</v>
      </c>
      <c r="C36">
        <f t="shared" si="0"/>
        <v>0.13332715114813723</v>
      </c>
      <c r="F36" s="2">
        <v>42401</v>
      </c>
      <c r="G36" s="3">
        <v>14197516</v>
      </c>
      <c r="H36">
        <f t="shared" si="1"/>
        <v>0.12356492501927802</v>
      </c>
      <c r="K36" s="2">
        <v>42401</v>
      </c>
      <c r="L36" s="3">
        <v>130463104</v>
      </c>
      <c r="M36">
        <f t="shared" si="2"/>
        <v>5.4383904586541187E-2</v>
      </c>
      <c r="P36" s="2">
        <v>42401</v>
      </c>
      <c r="Q36" s="3">
        <v>45862038</v>
      </c>
      <c r="R36">
        <f t="shared" si="3"/>
        <v>5.1865183139048462E-2</v>
      </c>
      <c r="U36" s="2">
        <v>42401</v>
      </c>
      <c r="V36" s="3">
        <v>45502258</v>
      </c>
      <c r="W36">
        <f t="shared" si="4"/>
        <v>9.3289282479124436E-2</v>
      </c>
      <c r="Z36" s="2">
        <v>42401</v>
      </c>
      <c r="AA36" s="3">
        <v>56890530</v>
      </c>
      <c r="AB36">
        <f t="shared" si="5"/>
        <v>6.8922929703766164E-2</v>
      </c>
      <c r="AE36" s="2">
        <v>42401</v>
      </c>
      <c r="AF36" s="3">
        <v>21558321</v>
      </c>
      <c r="AG36">
        <f t="shared" si="6"/>
        <v>9.0321041235075766E-3</v>
      </c>
      <c r="AJ36" s="2">
        <v>42401</v>
      </c>
      <c r="AK36" s="3">
        <v>62455807</v>
      </c>
      <c r="AL36">
        <f t="shared" si="7"/>
        <v>-0.10379391943490539</v>
      </c>
      <c r="AO36" s="2">
        <v>42401</v>
      </c>
      <c r="AP36" s="3">
        <v>1345483276</v>
      </c>
      <c r="AQ36">
        <f t="shared" si="8"/>
        <v>3.2104664376370891E-2</v>
      </c>
      <c r="AT36" s="2">
        <v>42401</v>
      </c>
      <c r="AU36" s="3">
        <v>71870003</v>
      </c>
      <c r="AV36">
        <f t="shared" si="9"/>
        <v>-4.7307664645568473E-2</v>
      </c>
    </row>
    <row r="37" spans="1:48" x14ac:dyDescent="0.3">
      <c r="A37" s="2">
        <v>42430</v>
      </c>
      <c r="B37" s="3">
        <v>25041710</v>
      </c>
      <c r="C37">
        <f t="shared" si="0"/>
        <v>-0.13992127534421572</v>
      </c>
      <c r="F37" s="2">
        <v>42430</v>
      </c>
      <c r="G37" s="3">
        <v>15951831</v>
      </c>
      <c r="H37">
        <f t="shared" si="1"/>
        <v>3.0649020792660103E-2</v>
      </c>
      <c r="K37" s="2">
        <v>42430</v>
      </c>
      <c r="L37" s="3">
        <v>137558197</v>
      </c>
      <c r="M37">
        <f t="shared" si="2"/>
        <v>4.5420339436405957E-2</v>
      </c>
      <c r="P37" s="2">
        <v>42430</v>
      </c>
      <c r="Q37" s="3">
        <v>48240681</v>
      </c>
      <c r="R37">
        <f t="shared" si="3"/>
        <v>6.7206990713916337E-2</v>
      </c>
      <c r="U37" s="2">
        <v>42430</v>
      </c>
      <c r="V37" s="3">
        <v>49747131</v>
      </c>
      <c r="W37">
        <f t="shared" si="4"/>
        <v>-9.7048953436128807E-2</v>
      </c>
      <c r="Z37" s="2">
        <v>42430</v>
      </c>
      <c r="AA37" s="3">
        <v>60811592</v>
      </c>
      <c r="AB37">
        <f t="shared" si="5"/>
        <v>5.5564027989926656E-2</v>
      </c>
      <c r="AE37" s="2">
        <v>42430</v>
      </c>
      <c r="AF37" s="3">
        <v>21753038</v>
      </c>
      <c r="AG37">
        <f t="shared" si="6"/>
        <v>0.10357652112776156</v>
      </c>
      <c r="AJ37" s="2">
        <v>42430</v>
      </c>
      <c r="AK37" s="3">
        <v>55973274</v>
      </c>
      <c r="AL37">
        <f t="shared" si="7"/>
        <v>-3.6741141852806393E-2</v>
      </c>
      <c r="AO37" s="2">
        <v>42430</v>
      </c>
      <c r="AP37" s="3">
        <v>1388679565</v>
      </c>
      <c r="AQ37">
        <f t="shared" si="8"/>
        <v>2.4053400684988117E-2</v>
      </c>
      <c r="AT37" s="2">
        <v>42430</v>
      </c>
      <c r="AU37" s="3">
        <v>68470001</v>
      </c>
      <c r="AV37">
        <f t="shared" si="9"/>
        <v>-0.1844603595083926</v>
      </c>
    </row>
    <row r="38" spans="1:48" x14ac:dyDescent="0.3">
      <c r="A38" s="2">
        <v>42461</v>
      </c>
      <c r="B38" s="3">
        <v>21537842</v>
      </c>
      <c r="C38">
        <f t="shared" si="0"/>
        <v>6.5287088650757122E-2</v>
      </c>
      <c r="F38" s="2">
        <v>42461</v>
      </c>
      <c r="G38" s="3">
        <v>16440739</v>
      </c>
      <c r="H38">
        <f t="shared" si="1"/>
        <v>3.3819465171243214E-2</v>
      </c>
      <c r="K38" s="2">
        <v>42461</v>
      </c>
      <c r="L38" s="3">
        <v>143806137</v>
      </c>
      <c r="M38">
        <f t="shared" si="2"/>
        <v>-2.8213336959326013E-2</v>
      </c>
      <c r="P38" s="2">
        <v>42461</v>
      </c>
      <c r="Q38" s="3">
        <v>51482792</v>
      </c>
      <c r="R38">
        <f t="shared" si="3"/>
        <v>4.0399149292447076E-2</v>
      </c>
      <c r="U38" s="2">
        <v>42461</v>
      </c>
      <c r="V38" s="3">
        <v>44919224</v>
      </c>
      <c r="W38">
        <f t="shared" si="4"/>
        <v>6.2763639906156882E-2</v>
      </c>
      <c r="Z38" s="2">
        <v>42461</v>
      </c>
      <c r="AA38" s="3">
        <v>64190529</v>
      </c>
      <c r="AB38">
        <f t="shared" si="5"/>
        <v>1.8416657697274935E-2</v>
      </c>
      <c r="AE38" s="2">
        <v>42461</v>
      </c>
      <c r="AF38" s="3">
        <v>24006142</v>
      </c>
      <c r="AG38">
        <f t="shared" si="6"/>
        <v>6.0837597311554685E-2</v>
      </c>
      <c r="AJ38" s="2">
        <v>42461</v>
      </c>
      <c r="AK38" s="3">
        <v>53916752</v>
      </c>
      <c r="AL38">
        <f t="shared" si="7"/>
        <v>-0.10281928703717168</v>
      </c>
      <c r="AO38" s="2">
        <v>42461</v>
      </c>
      <c r="AP38" s="3">
        <v>1422082031</v>
      </c>
      <c r="AQ38">
        <f t="shared" si="8"/>
        <v>2.7939527491294205E-2</v>
      </c>
      <c r="AT38" s="2">
        <v>42461</v>
      </c>
      <c r="AU38" s="3">
        <v>55840000</v>
      </c>
      <c r="AV38">
        <f t="shared" si="9"/>
        <v>-0.11085239971346705</v>
      </c>
    </row>
    <row r="39" spans="1:48" x14ac:dyDescent="0.3">
      <c r="A39" s="2">
        <v>42491</v>
      </c>
      <c r="B39" s="3">
        <v>22943985</v>
      </c>
      <c r="C39">
        <f t="shared" si="0"/>
        <v>-3.683087310247108E-2</v>
      </c>
      <c r="F39" s="2">
        <v>42491</v>
      </c>
      <c r="G39" s="3">
        <v>16996756</v>
      </c>
      <c r="H39">
        <f t="shared" si="1"/>
        <v>-8.1768073860682591E-2</v>
      </c>
      <c r="K39" s="2">
        <v>42491</v>
      </c>
      <c r="L39" s="3">
        <v>139748886</v>
      </c>
      <c r="M39">
        <f t="shared" si="2"/>
        <v>-6.452810650669516E-2</v>
      </c>
      <c r="P39" s="2">
        <v>42491</v>
      </c>
      <c r="Q39" s="3">
        <v>53562653</v>
      </c>
      <c r="R39">
        <f t="shared" si="3"/>
        <v>-4.7954700824845251E-2</v>
      </c>
      <c r="U39" s="2">
        <v>42491</v>
      </c>
      <c r="V39" s="3">
        <v>47738518</v>
      </c>
      <c r="W39">
        <f t="shared" si="4"/>
        <v>-2.7775684196983241E-2</v>
      </c>
      <c r="Z39" s="2">
        <v>42491</v>
      </c>
      <c r="AA39" s="3">
        <v>65372704</v>
      </c>
      <c r="AB39">
        <f t="shared" si="5"/>
        <v>0.14625936231733661</v>
      </c>
      <c r="AE39" s="2">
        <v>42491</v>
      </c>
      <c r="AF39" s="3">
        <v>25466618</v>
      </c>
      <c r="AG39">
        <f t="shared" si="6"/>
        <v>2.378427320031266E-2</v>
      </c>
      <c r="AJ39" s="2">
        <v>42491</v>
      </c>
      <c r="AK39" s="3">
        <v>48373070</v>
      </c>
      <c r="AL39">
        <f t="shared" si="7"/>
        <v>-7.4861260614635369E-2</v>
      </c>
      <c r="AO39" s="2">
        <v>42491</v>
      </c>
      <c r="AP39" s="3">
        <v>1461814331</v>
      </c>
      <c r="AQ39">
        <f t="shared" si="8"/>
        <v>-0.23839201436861546</v>
      </c>
      <c r="AT39" s="2">
        <v>42491</v>
      </c>
      <c r="AU39" s="3">
        <v>49650002</v>
      </c>
      <c r="AV39">
        <f t="shared" si="9"/>
        <v>-2.3564994015508801E-2</v>
      </c>
    </row>
    <row r="40" spans="1:48" x14ac:dyDescent="0.3">
      <c r="A40" s="2">
        <v>42522</v>
      </c>
      <c r="B40" s="3">
        <v>22098938</v>
      </c>
      <c r="C40">
        <f t="shared" si="0"/>
        <v>9.0062608438468847E-2</v>
      </c>
      <c r="F40" s="2">
        <v>42522</v>
      </c>
      <c r="G40" s="3">
        <v>15606964</v>
      </c>
      <c r="H40">
        <f t="shared" si="1"/>
        <v>3.2797025737997476E-2</v>
      </c>
      <c r="K40" s="2">
        <v>42522</v>
      </c>
      <c r="L40" s="3">
        <v>130731155</v>
      </c>
      <c r="M40">
        <f t="shared" si="2"/>
        <v>6.8852218126581988E-2</v>
      </c>
      <c r="P40" s="2">
        <v>42522</v>
      </c>
      <c r="Q40" s="3">
        <v>50994072</v>
      </c>
      <c r="R40">
        <f t="shared" si="3"/>
        <v>2.9449736824311658E-2</v>
      </c>
      <c r="U40" s="2">
        <v>42522</v>
      </c>
      <c r="V40" s="3">
        <v>46412548</v>
      </c>
      <c r="W40">
        <f t="shared" si="4"/>
        <v>0.10768025491726936</v>
      </c>
      <c r="Z40" s="2">
        <v>42522</v>
      </c>
      <c r="AA40" s="3">
        <v>74934074</v>
      </c>
      <c r="AB40">
        <f t="shared" si="5"/>
        <v>-2.2837754690876677E-2</v>
      </c>
      <c r="AE40" s="2">
        <v>42522</v>
      </c>
      <c r="AF40" s="3">
        <v>26072323</v>
      </c>
      <c r="AG40">
        <f t="shared" si="6"/>
        <v>4.7713546660188275E-2</v>
      </c>
      <c r="AJ40" s="2">
        <v>42522</v>
      </c>
      <c r="AK40" s="3">
        <v>44751801</v>
      </c>
      <c r="AL40">
        <f t="shared" si="7"/>
        <v>8.957076386713464E-2</v>
      </c>
      <c r="AO40" s="2">
        <v>42522</v>
      </c>
      <c r="AP40" s="3">
        <v>1113329468</v>
      </c>
      <c r="AQ40">
        <f t="shared" si="8"/>
        <v>0.10780673416972737</v>
      </c>
      <c r="AT40" s="2">
        <v>42522</v>
      </c>
      <c r="AU40" s="3">
        <v>48480000</v>
      </c>
      <c r="AV40">
        <f t="shared" si="9"/>
        <v>-3.7128712871287127E-2</v>
      </c>
    </row>
    <row r="41" spans="1:48" x14ac:dyDescent="0.3">
      <c r="A41" s="2">
        <v>42552</v>
      </c>
      <c r="B41" s="3">
        <v>24089226</v>
      </c>
      <c r="C41">
        <f t="shared" si="0"/>
        <v>1.8136614268968211E-2</v>
      </c>
      <c r="F41" s="2">
        <v>42552</v>
      </c>
      <c r="G41" s="3">
        <v>16118826</v>
      </c>
      <c r="H41">
        <f t="shared" si="1"/>
        <v>7.1300167890639185E-2</v>
      </c>
      <c r="K41" s="2">
        <v>42552</v>
      </c>
      <c r="L41" s="3">
        <v>139732285</v>
      </c>
      <c r="M41">
        <f t="shared" si="2"/>
        <v>6.7061023155815427E-2</v>
      </c>
      <c r="P41" s="2">
        <v>42552</v>
      </c>
      <c r="Q41" s="3">
        <v>52495834</v>
      </c>
      <c r="R41">
        <f t="shared" si="3"/>
        <v>6.3396230641844839E-2</v>
      </c>
      <c r="U41" s="2">
        <v>42552</v>
      </c>
      <c r="V41" s="3">
        <v>51410263</v>
      </c>
      <c r="W41">
        <f t="shared" si="4"/>
        <v>1.3761629657486871E-2</v>
      </c>
      <c r="Z41" s="2">
        <v>42552</v>
      </c>
      <c r="AA41" s="3">
        <v>73222748</v>
      </c>
      <c r="AB41">
        <f t="shared" si="5"/>
        <v>-0.10402032439427157</v>
      </c>
      <c r="AE41" s="2">
        <v>42552</v>
      </c>
      <c r="AF41" s="3">
        <v>27316326</v>
      </c>
      <c r="AG41">
        <f t="shared" si="6"/>
        <v>-5.6654837110964335E-2</v>
      </c>
      <c r="AJ41" s="2">
        <v>42552</v>
      </c>
      <c r="AK41" s="3">
        <v>48760254</v>
      </c>
      <c r="AL41">
        <f t="shared" si="7"/>
        <v>2.0932458637315549E-2</v>
      </c>
      <c r="AO41" s="2">
        <v>42552</v>
      </c>
      <c r="AP41" s="3">
        <v>1233353882</v>
      </c>
      <c r="AQ41">
        <f t="shared" si="8"/>
        <v>0.13825509327743779</v>
      </c>
      <c r="AT41" s="2">
        <v>42552</v>
      </c>
      <c r="AU41" s="3">
        <v>46680000</v>
      </c>
      <c r="AV41">
        <f t="shared" si="9"/>
        <v>-0.18980291345329905</v>
      </c>
    </row>
    <row r="42" spans="1:48" x14ac:dyDescent="0.3">
      <c r="A42" s="2">
        <v>42583</v>
      </c>
      <c r="B42" s="3">
        <v>24526123</v>
      </c>
      <c r="C42">
        <f t="shared" si="0"/>
        <v>7.1276206190436217E-2</v>
      </c>
      <c r="F42" s="2">
        <v>42583</v>
      </c>
      <c r="G42" s="3">
        <v>17268101</v>
      </c>
      <c r="H42">
        <f t="shared" si="1"/>
        <v>-3.2438540867927516E-2</v>
      </c>
      <c r="K42" s="2">
        <v>42583</v>
      </c>
      <c r="L42" s="3">
        <v>149102875</v>
      </c>
      <c r="M42">
        <f t="shared" si="2"/>
        <v>-4.460842891191736E-2</v>
      </c>
      <c r="P42" s="2">
        <v>42583</v>
      </c>
      <c r="Q42" s="3">
        <v>55823872</v>
      </c>
      <c r="R42">
        <f t="shared" si="3"/>
        <v>-1.3481383018361751E-2</v>
      </c>
      <c r="U42" s="2">
        <v>42583</v>
      </c>
      <c r="V42" s="3">
        <v>52117752</v>
      </c>
      <c r="W42">
        <f t="shared" si="4"/>
        <v>8.6842962835388601E-3</v>
      </c>
      <c r="Z42" s="2">
        <v>42583</v>
      </c>
      <c r="AA42" s="3">
        <v>65606094</v>
      </c>
      <c r="AB42">
        <f t="shared" si="5"/>
        <v>1.6182704003076299E-2</v>
      </c>
      <c r="AE42" s="2">
        <v>42583</v>
      </c>
      <c r="AF42" s="3">
        <v>25768724</v>
      </c>
      <c r="AG42">
        <f t="shared" si="6"/>
        <v>-1.8633635099665782E-2</v>
      </c>
      <c r="AJ42" s="2">
        <v>42583</v>
      </c>
      <c r="AK42" s="3">
        <v>49780926</v>
      </c>
      <c r="AL42">
        <f t="shared" si="7"/>
        <v>-0.12413788767207745</v>
      </c>
      <c r="AO42" s="2">
        <v>42583</v>
      </c>
      <c r="AP42" s="3">
        <v>1403871338</v>
      </c>
      <c r="AQ42">
        <f t="shared" si="8"/>
        <v>-2.8891491621862574E-2</v>
      </c>
      <c r="AT42" s="2">
        <v>42583</v>
      </c>
      <c r="AU42" s="3">
        <v>37820000</v>
      </c>
      <c r="AV42">
        <f t="shared" si="9"/>
        <v>4.4156583818085668E-2</v>
      </c>
    </row>
    <row r="43" spans="1:48" x14ac:dyDescent="0.3">
      <c r="A43" s="2">
        <v>42614</v>
      </c>
      <c r="B43" s="3">
        <v>26274252</v>
      </c>
      <c r="C43">
        <f t="shared" si="0"/>
        <v>4.3343574538297035E-3</v>
      </c>
      <c r="F43" s="2">
        <v>42614</v>
      </c>
      <c r="G43" s="3">
        <v>16707949</v>
      </c>
      <c r="H43">
        <f t="shared" si="1"/>
        <v>4.2774669709609477E-2</v>
      </c>
      <c r="K43" s="2">
        <v>42614</v>
      </c>
      <c r="L43" s="3">
        <v>142451630</v>
      </c>
      <c r="M43">
        <f t="shared" si="2"/>
        <v>0.10522712867518609</v>
      </c>
      <c r="P43" s="2">
        <v>42614</v>
      </c>
      <c r="Q43" s="3">
        <v>55071289</v>
      </c>
      <c r="R43">
        <f t="shared" si="3"/>
        <v>4.0096119776677097E-2</v>
      </c>
      <c r="U43" s="2">
        <v>42614</v>
      </c>
      <c r="V43" s="3">
        <v>52570358</v>
      </c>
      <c r="W43">
        <f t="shared" si="4"/>
        <v>4.0277621849179719E-2</v>
      </c>
      <c r="Z43" s="2">
        <v>42614</v>
      </c>
      <c r="AA43" s="3">
        <v>66667778</v>
      </c>
      <c r="AB43">
        <f t="shared" si="5"/>
        <v>-1.0689406807588517E-2</v>
      </c>
      <c r="AE43" s="2">
        <v>42614</v>
      </c>
      <c r="AF43" s="3">
        <v>25288559</v>
      </c>
      <c r="AG43">
        <f t="shared" si="6"/>
        <v>-6.3773266005390031E-2</v>
      </c>
      <c r="AJ43" s="2">
        <v>42614</v>
      </c>
      <c r="AK43" s="3">
        <v>43601227</v>
      </c>
      <c r="AL43">
        <f t="shared" si="7"/>
        <v>0.1342837897658247</v>
      </c>
      <c r="AO43" s="2">
        <v>42614</v>
      </c>
      <c r="AP43" s="3">
        <v>1363311401</v>
      </c>
      <c r="AQ43">
        <f t="shared" si="8"/>
        <v>0.10564657120475442</v>
      </c>
      <c r="AT43" s="2">
        <v>42614</v>
      </c>
      <c r="AU43" s="3">
        <v>39490002</v>
      </c>
      <c r="AV43">
        <f t="shared" si="9"/>
        <v>2.5322865265998213E-2</v>
      </c>
    </row>
    <row r="44" spans="1:48" x14ac:dyDescent="0.3">
      <c r="A44" s="2">
        <v>42644</v>
      </c>
      <c r="B44" s="3">
        <v>26388134</v>
      </c>
      <c r="C44">
        <f t="shared" si="0"/>
        <v>-2.6598887211956707E-2</v>
      </c>
      <c r="F44" s="2">
        <v>42644</v>
      </c>
      <c r="G44" s="3">
        <v>17422626</v>
      </c>
      <c r="H44">
        <f t="shared" si="1"/>
        <v>-4.9888575924203387E-3</v>
      </c>
      <c r="K44" s="2">
        <v>42644</v>
      </c>
      <c r="L44" s="3">
        <v>157441406</v>
      </c>
      <c r="M44">
        <f t="shared" si="2"/>
        <v>0.23030757868104912</v>
      </c>
      <c r="P44" s="2">
        <v>42644</v>
      </c>
      <c r="Q44" s="3">
        <v>57279434</v>
      </c>
      <c r="R44">
        <f t="shared" si="3"/>
        <v>0.16593671299196147</v>
      </c>
      <c r="U44" s="2">
        <v>42644</v>
      </c>
      <c r="V44" s="3">
        <v>54687767</v>
      </c>
      <c r="W44">
        <f t="shared" si="4"/>
        <v>5.6743585818744436E-3</v>
      </c>
      <c r="Z44" s="2">
        <v>42644</v>
      </c>
      <c r="AA44" s="3">
        <v>65955139</v>
      </c>
      <c r="AB44">
        <f t="shared" si="5"/>
        <v>-2.1204822265631189E-2</v>
      </c>
      <c r="AE44" s="2">
        <v>42644</v>
      </c>
      <c r="AF44" s="3">
        <v>23675825</v>
      </c>
      <c r="AG44">
        <f t="shared" si="6"/>
        <v>1.3560287761883694E-2</v>
      </c>
      <c r="AJ44" s="2">
        <v>42644</v>
      </c>
      <c r="AK44" s="3">
        <v>49456165</v>
      </c>
      <c r="AL44">
        <f t="shared" si="7"/>
        <v>1.3133266600837327E-2</v>
      </c>
      <c r="AO44" s="2">
        <v>42644</v>
      </c>
      <c r="AP44" s="3">
        <v>1507340576</v>
      </c>
      <c r="AQ44">
        <f t="shared" si="8"/>
        <v>8.6765660715551515E-2</v>
      </c>
      <c r="AT44" s="2">
        <v>42644</v>
      </c>
      <c r="AU44" s="3">
        <v>40490002</v>
      </c>
      <c r="AV44">
        <f t="shared" si="9"/>
        <v>-0.25117316615593155</v>
      </c>
    </row>
    <row r="45" spans="1:48" x14ac:dyDescent="0.3">
      <c r="A45" s="2">
        <v>42675</v>
      </c>
      <c r="B45" s="3">
        <v>25686239</v>
      </c>
      <c r="C45">
        <f t="shared" si="0"/>
        <v>5.3335912665143384E-2</v>
      </c>
      <c r="F45" s="2">
        <v>42675</v>
      </c>
      <c r="G45" s="3">
        <v>17335707</v>
      </c>
      <c r="H45">
        <f t="shared" si="1"/>
        <v>0.13314749724369476</v>
      </c>
      <c r="K45" s="2">
        <v>42675</v>
      </c>
      <c r="L45" s="3">
        <v>193701355</v>
      </c>
      <c r="M45">
        <f t="shared" si="2"/>
        <v>9.5317608903665127E-2</v>
      </c>
      <c r="P45" s="2">
        <v>42675</v>
      </c>
      <c r="Q45" s="3">
        <v>66784195</v>
      </c>
      <c r="R45">
        <f t="shared" si="3"/>
        <v>7.6337926960113836E-2</v>
      </c>
      <c r="U45" s="2">
        <v>42675</v>
      </c>
      <c r="V45" s="3">
        <v>54998085</v>
      </c>
      <c r="W45">
        <f t="shared" si="4"/>
        <v>3.8164328812539561E-2</v>
      </c>
      <c r="Z45" s="2">
        <v>42675</v>
      </c>
      <c r="AA45" s="3">
        <v>64556572</v>
      </c>
      <c r="AB45">
        <f t="shared" si="5"/>
        <v>3.8150104996281403E-3</v>
      </c>
      <c r="AE45" s="2">
        <v>42675</v>
      </c>
      <c r="AF45" s="3">
        <v>23996876</v>
      </c>
      <c r="AG45">
        <f t="shared" si="6"/>
        <v>2.0657688942510685E-2</v>
      </c>
      <c r="AJ45" s="2">
        <v>42675</v>
      </c>
      <c r="AK45" s="3">
        <v>50105686</v>
      </c>
      <c r="AL45">
        <f t="shared" si="7"/>
        <v>0.14444436505669236</v>
      </c>
      <c r="AO45" s="2">
        <v>42675</v>
      </c>
      <c r="AP45" s="3">
        <v>1638125977</v>
      </c>
      <c r="AQ45">
        <f t="shared" si="8"/>
        <v>-2.0212340482285143E-3</v>
      </c>
      <c r="AT45" s="2">
        <v>42675</v>
      </c>
      <c r="AU45" s="3">
        <v>30320000</v>
      </c>
      <c r="AV45">
        <f t="shared" si="9"/>
        <v>5.8377308707124008E-2</v>
      </c>
    </row>
    <row r="46" spans="1:48" x14ac:dyDescent="0.3">
      <c r="A46" s="2">
        <v>42705</v>
      </c>
      <c r="B46" s="3">
        <v>27056238</v>
      </c>
      <c r="C46">
        <f t="shared" si="0"/>
        <v>4.774647532299206E-2</v>
      </c>
      <c r="F46" s="2">
        <v>42705</v>
      </c>
      <c r="G46" s="3">
        <v>19643913</v>
      </c>
      <c r="H46">
        <f t="shared" si="1"/>
        <v>2.8515296315963119E-2</v>
      </c>
      <c r="K46" s="2">
        <v>42705</v>
      </c>
      <c r="L46" s="3">
        <v>212164505</v>
      </c>
      <c r="M46">
        <f t="shared" si="2"/>
        <v>-4.2305130163030807E-2</v>
      </c>
      <c r="P46" s="2">
        <v>42705</v>
      </c>
      <c r="Q46" s="3">
        <v>71882362</v>
      </c>
      <c r="R46">
        <f t="shared" si="3"/>
        <v>-1.9237584318667771E-2</v>
      </c>
      <c r="U46" s="2">
        <v>42705</v>
      </c>
      <c r="V46" s="3">
        <v>57097050</v>
      </c>
      <c r="W46">
        <f t="shared" si="4"/>
        <v>4.0392839910293091E-2</v>
      </c>
      <c r="Z46" s="2">
        <v>42705</v>
      </c>
      <c r="AA46" s="3">
        <v>64802856</v>
      </c>
      <c r="AB46">
        <f t="shared" si="5"/>
        <v>1.4925653894019732E-2</v>
      </c>
      <c r="AE46" s="2">
        <v>42705</v>
      </c>
      <c r="AF46" s="3">
        <v>24492596</v>
      </c>
      <c r="AG46">
        <f t="shared" si="6"/>
        <v>-2.30910598451875E-2</v>
      </c>
      <c r="AJ46" s="2">
        <v>42705</v>
      </c>
      <c r="AK46" s="3">
        <v>57343170</v>
      </c>
      <c r="AL46">
        <f t="shared" si="7"/>
        <v>8.0097158911863434E-2</v>
      </c>
      <c r="AO46" s="2">
        <v>42705</v>
      </c>
      <c r="AP46" s="3">
        <v>1634814941</v>
      </c>
      <c r="AQ46">
        <f t="shared" si="8"/>
        <v>1.9746716396079229E-2</v>
      </c>
      <c r="AT46" s="2">
        <v>42705</v>
      </c>
      <c r="AU46" s="3">
        <v>32090000</v>
      </c>
      <c r="AV46">
        <f t="shared" si="9"/>
        <v>-2.80460891243378E-2</v>
      </c>
    </row>
    <row r="47" spans="1:48" x14ac:dyDescent="0.3">
      <c r="A47" s="2">
        <v>42736</v>
      </c>
      <c r="B47" s="3">
        <v>28348078</v>
      </c>
      <c r="C47">
        <f t="shared" si="0"/>
        <v>0.12888365835595628</v>
      </c>
      <c r="F47" s="2">
        <v>42736</v>
      </c>
      <c r="G47" s="3">
        <v>20204065</v>
      </c>
      <c r="H47">
        <f t="shared" si="1"/>
        <v>-7.1223686916469534E-2</v>
      </c>
      <c r="K47" s="2">
        <v>42736</v>
      </c>
      <c r="L47" s="3">
        <v>203188858</v>
      </c>
      <c r="M47">
        <f t="shared" si="2"/>
        <v>8.1719879541820153E-2</v>
      </c>
      <c r="P47" s="2">
        <v>42736</v>
      </c>
      <c r="Q47" s="3">
        <v>70499519</v>
      </c>
      <c r="R47">
        <f t="shared" si="3"/>
        <v>7.6703757368897799E-2</v>
      </c>
      <c r="U47" s="2">
        <v>42736</v>
      </c>
      <c r="V47" s="3">
        <v>59403362</v>
      </c>
      <c r="W47">
        <f t="shared" si="4"/>
        <v>-1.0363571677980112E-2</v>
      </c>
      <c r="Z47" s="2">
        <v>42736</v>
      </c>
      <c r="AA47" s="3">
        <v>65770081</v>
      </c>
      <c r="AB47">
        <f t="shared" si="5"/>
        <v>6.2091256965306152E-2</v>
      </c>
      <c r="AE47" s="2">
        <v>42736</v>
      </c>
      <c r="AF47" s="3">
        <v>23927036</v>
      </c>
      <c r="AG47">
        <f t="shared" si="6"/>
        <v>7.5323161631887875E-2</v>
      </c>
      <c r="AJ47" s="2">
        <v>42736</v>
      </c>
      <c r="AK47" s="3">
        <v>61936195</v>
      </c>
      <c r="AL47">
        <f t="shared" si="7"/>
        <v>-2.247199719001143E-3</v>
      </c>
      <c r="AO47" s="2">
        <v>42736</v>
      </c>
      <c r="AP47" s="3">
        <v>1667097168</v>
      </c>
      <c r="AQ47">
        <f t="shared" si="8"/>
        <v>3.4756888267954878E-3</v>
      </c>
      <c r="AT47" s="2">
        <v>42736</v>
      </c>
      <c r="AU47" s="3">
        <v>31190001</v>
      </c>
      <c r="AV47">
        <f t="shared" si="9"/>
        <v>0.16030772169580887</v>
      </c>
    </row>
    <row r="48" spans="1:48" x14ac:dyDescent="0.3">
      <c r="A48" s="2">
        <v>42767</v>
      </c>
      <c r="B48" s="3">
        <v>32001682</v>
      </c>
      <c r="C48">
        <f t="shared" si="0"/>
        <v>5.3236326765574382E-2</v>
      </c>
      <c r="F48" s="2">
        <v>42767</v>
      </c>
      <c r="G48" s="3">
        <v>18765057</v>
      </c>
      <c r="H48">
        <f t="shared" si="1"/>
        <v>0.14976831671760976</v>
      </c>
      <c r="K48" s="2">
        <v>42767</v>
      </c>
      <c r="L48" s="3">
        <v>219793427</v>
      </c>
      <c r="M48">
        <f t="shared" si="2"/>
        <v>-7.1513239565621764E-2</v>
      </c>
      <c r="P48" s="2">
        <v>42767</v>
      </c>
      <c r="Q48" s="3">
        <v>75907097</v>
      </c>
      <c r="R48">
        <f t="shared" si="3"/>
        <v>-3.0677948334659668E-2</v>
      </c>
      <c r="U48" s="2">
        <v>42767</v>
      </c>
      <c r="V48" s="3">
        <v>58787731</v>
      </c>
      <c r="W48">
        <f t="shared" si="4"/>
        <v>3.5624712238000816E-2</v>
      </c>
      <c r="Z48" s="2">
        <v>42767</v>
      </c>
      <c r="AA48" s="3">
        <v>69853828</v>
      </c>
      <c r="AB48">
        <f t="shared" si="5"/>
        <v>2.2001228050093405E-3</v>
      </c>
      <c r="AE48" s="2">
        <v>42767</v>
      </c>
      <c r="AF48" s="3">
        <v>25729296</v>
      </c>
      <c r="AG48">
        <f t="shared" si="6"/>
        <v>1.2852314342374544E-2</v>
      </c>
      <c r="AJ48" s="2">
        <v>42767</v>
      </c>
      <c r="AK48" s="3">
        <v>61797012</v>
      </c>
      <c r="AL48">
        <f t="shared" si="7"/>
        <v>0.10135129187152285</v>
      </c>
      <c r="AO48" s="2">
        <v>42767</v>
      </c>
      <c r="AP48" s="3">
        <v>1672891479</v>
      </c>
      <c r="AQ48">
        <f t="shared" si="8"/>
        <v>-3.4636359696587349E-2</v>
      </c>
      <c r="AT48" s="2">
        <v>42767</v>
      </c>
      <c r="AU48" s="3">
        <v>36189999</v>
      </c>
      <c r="AV48">
        <f t="shared" si="9"/>
        <v>-0.25117433686582857</v>
      </c>
    </row>
    <row r="49" spans="1:48" x14ac:dyDescent="0.3">
      <c r="A49" s="2">
        <v>42795</v>
      </c>
      <c r="B49" s="3">
        <v>33705334</v>
      </c>
      <c r="C49">
        <f t="shared" si="0"/>
        <v>-6.9721902177263687E-5</v>
      </c>
      <c r="F49" s="2">
        <v>42795</v>
      </c>
      <c r="G49" s="3">
        <v>21575468</v>
      </c>
      <c r="H49">
        <f t="shared" si="1"/>
        <v>7.6096750253575027E-2</v>
      </c>
      <c r="K49" s="2">
        <v>42795</v>
      </c>
      <c r="L49" s="3">
        <v>204075287</v>
      </c>
      <c r="M49">
        <f t="shared" si="2"/>
        <v>-2.5770513800624964E-2</v>
      </c>
      <c r="P49" s="2">
        <v>42795</v>
      </c>
      <c r="Q49" s="3">
        <v>73578423</v>
      </c>
      <c r="R49">
        <f t="shared" si="3"/>
        <v>-9.5625588496236185E-3</v>
      </c>
      <c r="U49" s="2">
        <v>42795</v>
      </c>
      <c r="V49" s="3">
        <v>60882027</v>
      </c>
      <c r="W49">
        <f t="shared" si="4"/>
        <v>3.9477660623881659E-2</v>
      </c>
      <c r="Z49" s="2">
        <v>42795</v>
      </c>
      <c r="AA49" s="3">
        <v>70007515</v>
      </c>
      <c r="AB49">
        <f t="shared" si="5"/>
        <v>2.5588210065733658E-2</v>
      </c>
      <c r="AE49" s="2">
        <v>42795</v>
      </c>
      <c r="AF49" s="3">
        <v>26059977</v>
      </c>
      <c r="AG49">
        <f t="shared" si="6"/>
        <v>-8.4771755554504131E-3</v>
      </c>
      <c r="AJ49" s="2">
        <v>42795</v>
      </c>
      <c r="AK49" s="3">
        <v>68060219</v>
      </c>
      <c r="AL49">
        <f t="shared" si="7"/>
        <v>-3.2719759541179262E-2</v>
      </c>
      <c r="AO49" s="2">
        <v>42795</v>
      </c>
      <c r="AP49" s="3">
        <v>1614948608</v>
      </c>
      <c r="AQ49">
        <f t="shared" si="8"/>
        <v>3.495131654369029E-2</v>
      </c>
      <c r="AT49" s="2">
        <v>42795</v>
      </c>
      <c r="AU49" s="3">
        <v>27100000</v>
      </c>
      <c r="AV49">
        <f t="shared" si="9"/>
        <v>9.0405867158671591E-2</v>
      </c>
    </row>
    <row r="50" spans="1:48" x14ac:dyDescent="0.3">
      <c r="A50" s="2">
        <v>42826</v>
      </c>
      <c r="B50" s="3">
        <v>33702984</v>
      </c>
      <c r="C50">
        <f t="shared" si="0"/>
        <v>6.3417737729098408E-2</v>
      </c>
      <c r="F50" s="2">
        <v>42826</v>
      </c>
      <c r="G50" s="3">
        <v>23217291</v>
      </c>
      <c r="H50">
        <f t="shared" si="1"/>
        <v>-4.4925267120957395E-2</v>
      </c>
      <c r="K50" s="2">
        <v>42826</v>
      </c>
      <c r="L50" s="3">
        <v>198816162</v>
      </c>
      <c r="M50">
        <f t="shared" si="2"/>
        <v>-5.6032351132499984E-2</v>
      </c>
      <c r="P50" s="2">
        <v>42826</v>
      </c>
      <c r="Q50" s="3">
        <v>72874825</v>
      </c>
      <c r="R50">
        <f t="shared" si="3"/>
        <v>-5.03217812186856E-2</v>
      </c>
      <c r="U50" s="2">
        <v>42826</v>
      </c>
      <c r="V50" s="3">
        <v>63285507</v>
      </c>
      <c r="W50">
        <f t="shared" si="4"/>
        <v>2.0157917040942722E-2</v>
      </c>
      <c r="Z50" s="2">
        <v>42826</v>
      </c>
      <c r="AA50" s="3">
        <v>71798882</v>
      </c>
      <c r="AB50">
        <f t="shared" si="5"/>
        <v>-1.9809639932833495E-2</v>
      </c>
      <c r="AE50" s="2">
        <v>42826</v>
      </c>
      <c r="AF50" s="3">
        <v>25839062</v>
      </c>
      <c r="AG50">
        <f t="shared" si="6"/>
        <v>-3.7440832798032682E-2</v>
      </c>
      <c r="AJ50" s="2">
        <v>42826</v>
      </c>
      <c r="AK50" s="3">
        <v>65833305</v>
      </c>
      <c r="AL50">
        <f t="shared" si="7"/>
        <v>-0.14446795584696834</v>
      </c>
      <c r="AO50" s="2">
        <v>42826</v>
      </c>
      <c r="AP50" s="3">
        <v>1671393188</v>
      </c>
      <c r="AQ50">
        <f t="shared" si="8"/>
        <v>0.14839374348341547</v>
      </c>
      <c r="AT50" s="2">
        <v>42826</v>
      </c>
      <c r="AU50" s="3">
        <v>29549999</v>
      </c>
      <c r="AV50">
        <f t="shared" si="9"/>
        <v>0.30321486643705131</v>
      </c>
    </row>
    <row r="51" spans="1:48" x14ac:dyDescent="0.3">
      <c r="A51" s="2">
        <v>42856</v>
      </c>
      <c r="B51" s="3">
        <v>35840351</v>
      </c>
      <c r="C51">
        <f t="shared" si="0"/>
        <v>-5.3322329348839244E-2</v>
      </c>
      <c r="F51" s="2">
        <v>42856</v>
      </c>
      <c r="G51" s="3">
        <v>22174248</v>
      </c>
      <c r="H51">
        <f t="shared" si="1"/>
        <v>9.4864998353044478E-3</v>
      </c>
      <c r="K51" s="2">
        <v>42856</v>
      </c>
      <c r="L51" s="3">
        <v>187676025</v>
      </c>
      <c r="M51">
        <f t="shared" si="2"/>
        <v>5.3900976429994189E-2</v>
      </c>
      <c r="P51" s="2">
        <v>42856</v>
      </c>
      <c r="Q51" s="3">
        <v>69207634</v>
      </c>
      <c r="R51">
        <f t="shared" si="3"/>
        <v>0.11259898004893507</v>
      </c>
      <c r="U51" s="2">
        <v>42856</v>
      </c>
      <c r="V51" s="3">
        <v>64561211</v>
      </c>
      <c r="W51">
        <f t="shared" si="4"/>
        <v>-7.3724608418513091E-3</v>
      </c>
      <c r="Z51" s="2">
        <v>42856</v>
      </c>
      <c r="AA51" s="3">
        <v>70376572</v>
      </c>
      <c r="AB51">
        <f t="shared" si="5"/>
        <v>2.3165663709792516E-3</v>
      </c>
      <c r="AE51" s="2">
        <v>42856</v>
      </c>
      <c r="AF51" s="3">
        <v>24871626</v>
      </c>
      <c r="AG51">
        <f t="shared" si="6"/>
        <v>3.874784865291879E-2</v>
      </c>
      <c r="AJ51" s="2">
        <v>42856</v>
      </c>
      <c r="AK51" s="3">
        <v>56322502</v>
      </c>
      <c r="AL51">
        <f t="shared" si="7"/>
        <v>-7.5909784689607712E-2</v>
      </c>
      <c r="AO51" s="2">
        <v>42856</v>
      </c>
      <c r="AP51" s="3">
        <v>1919417480</v>
      </c>
      <c r="AQ51">
        <f t="shared" si="8"/>
        <v>-2.575485870848691E-2</v>
      </c>
      <c r="AT51" s="2">
        <v>42856</v>
      </c>
      <c r="AU51" s="3">
        <v>38509998</v>
      </c>
      <c r="AV51">
        <f t="shared" si="9"/>
        <v>3.5575255028577252E-2</v>
      </c>
    </row>
    <row r="52" spans="1:48" x14ac:dyDescent="0.3">
      <c r="A52" s="2">
        <v>42887</v>
      </c>
      <c r="B52" s="3">
        <v>33929260</v>
      </c>
      <c r="C52">
        <f t="shared" si="0"/>
        <v>3.2703689971428793E-2</v>
      </c>
      <c r="F52" s="2">
        <v>42887</v>
      </c>
      <c r="G52" s="3">
        <v>22384604</v>
      </c>
      <c r="H52">
        <f t="shared" si="1"/>
        <v>7.7323994652753289E-2</v>
      </c>
      <c r="K52" s="2">
        <v>42887</v>
      </c>
      <c r="L52" s="3">
        <v>197791946</v>
      </c>
      <c r="M52">
        <f t="shared" si="2"/>
        <v>1.5457211791626744E-2</v>
      </c>
      <c r="P52" s="2">
        <v>42887</v>
      </c>
      <c r="Q52" s="3">
        <v>77000343</v>
      </c>
      <c r="R52">
        <f t="shared" si="3"/>
        <v>4.3765779069321808E-3</v>
      </c>
      <c r="U52" s="2">
        <v>42887</v>
      </c>
      <c r="V52" s="3">
        <v>64085236</v>
      </c>
      <c r="W52">
        <f t="shared" si="4"/>
        <v>5.4692737653334066E-2</v>
      </c>
      <c r="Z52" s="2">
        <v>42887</v>
      </c>
      <c r="AA52" s="3">
        <v>70539604</v>
      </c>
      <c r="AB52">
        <f t="shared" si="5"/>
        <v>4.0410164480084124E-2</v>
      </c>
      <c r="AE52" s="2">
        <v>42887</v>
      </c>
      <c r="AF52" s="3">
        <v>25835348</v>
      </c>
      <c r="AG52">
        <f t="shared" si="6"/>
        <v>-1.2801182318117024E-2</v>
      </c>
      <c r="AJ52" s="2">
        <v>42887</v>
      </c>
      <c r="AK52" s="3">
        <v>52047073</v>
      </c>
      <c r="AL52">
        <f t="shared" si="7"/>
        <v>7.5091696318830461E-2</v>
      </c>
      <c r="AO52" s="2">
        <v>42887</v>
      </c>
      <c r="AP52" s="3">
        <v>1869983154</v>
      </c>
      <c r="AQ52">
        <f t="shared" si="8"/>
        <v>5.1048175913139801E-2</v>
      </c>
      <c r="AT52" s="2">
        <v>42887</v>
      </c>
      <c r="AU52" s="3">
        <v>39880001</v>
      </c>
      <c r="AV52">
        <f t="shared" si="9"/>
        <v>0.23645937220513108</v>
      </c>
    </row>
    <row r="53" spans="1:48" x14ac:dyDescent="0.3">
      <c r="A53" s="2">
        <v>42917</v>
      </c>
      <c r="B53" s="3">
        <v>35038872</v>
      </c>
      <c r="C53">
        <f t="shared" si="0"/>
        <v>0.10266928684233899</v>
      </c>
      <c r="F53" s="2">
        <v>42917</v>
      </c>
      <c r="G53" s="3">
        <v>24115471</v>
      </c>
      <c r="H53">
        <f t="shared" si="1"/>
        <v>1.6128982096182156E-2</v>
      </c>
      <c r="K53" s="2">
        <v>42917</v>
      </c>
      <c r="L53" s="3">
        <v>200849258</v>
      </c>
      <c r="M53">
        <f t="shared" si="2"/>
        <v>-7.0563666209809946E-3</v>
      </c>
      <c r="P53" s="2">
        <v>42917</v>
      </c>
      <c r="Q53" s="3">
        <v>77337341</v>
      </c>
      <c r="R53">
        <f t="shared" si="3"/>
        <v>-4.4672081498121326E-3</v>
      </c>
      <c r="U53" s="2">
        <v>42917</v>
      </c>
      <c r="V53" s="3">
        <v>67590233</v>
      </c>
      <c r="W53">
        <f t="shared" si="4"/>
        <v>2.8473610972756965E-2</v>
      </c>
      <c r="Z53" s="2">
        <v>42917</v>
      </c>
      <c r="AA53" s="3">
        <v>73390121</v>
      </c>
      <c r="AB53">
        <f t="shared" si="5"/>
        <v>-2.4660539802080447E-3</v>
      </c>
      <c r="AE53" s="2">
        <v>42917</v>
      </c>
      <c r="AF53" s="3">
        <v>25504625</v>
      </c>
      <c r="AG53">
        <f t="shared" si="6"/>
        <v>2.2919137215308989E-2</v>
      </c>
      <c r="AJ53" s="2">
        <v>42917</v>
      </c>
      <c r="AK53" s="3">
        <v>55955376</v>
      </c>
      <c r="AL53">
        <f t="shared" si="7"/>
        <v>2.2998326380650181E-2</v>
      </c>
      <c r="AO53" s="2">
        <v>42917</v>
      </c>
      <c r="AP53" s="3">
        <v>1965442383</v>
      </c>
      <c r="AQ53">
        <f t="shared" si="8"/>
        <v>-9.5836855167684656E-2</v>
      </c>
      <c r="AT53" s="2">
        <v>42917</v>
      </c>
      <c r="AU53" s="3">
        <v>49310001</v>
      </c>
      <c r="AV53">
        <f t="shared" si="9"/>
        <v>-4.7657715521035988E-2</v>
      </c>
    </row>
    <row r="54" spans="1:48" x14ac:dyDescent="0.3">
      <c r="A54" s="2">
        <v>42948</v>
      </c>
      <c r="B54" s="3">
        <v>38636288</v>
      </c>
      <c r="C54">
        <f t="shared" si="0"/>
        <v>-5.6553491888247646E-2</v>
      </c>
      <c r="F54" s="2">
        <v>42948</v>
      </c>
      <c r="G54" s="3">
        <v>24504429</v>
      </c>
      <c r="H54">
        <f t="shared" si="1"/>
        <v>4.1269886354013796E-2</v>
      </c>
      <c r="K54" s="2">
        <v>42948</v>
      </c>
      <c r="L54" s="3">
        <v>199431992</v>
      </c>
      <c r="M54">
        <f t="shared" si="2"/>
        <v>6.3735009977737178E-2</v>
      </c>
      <c r="P54" s="2">
        <v>42948</v>
      </c>
      <c r="Q54" s="3">
        <v>76991859</v>
      </c>
      <c r="R54">
        <f t="shared" si="3"/>
        <v>5.0830919669052281E-2</v>
      </c>
      <c r="U54" s="2">
        <v>42948</v>
      </c>
      <c r="V54" s="3">
        <v>69514771</v>
      </c>
      <c r="W54">
        <f t="shared" si="4"/>
        <v>1.5629771692695356E-3</v>
      </c>
      <c r="Z54" s="2">
        <v>42948</v>
      </c>
      <c r="AA54" s="3">
        <v>73209137</v>
      </c>
      <c r="AB54">
        <f t="shared" si="5"/>
        <v>5.269151035068205E-3</v>
      </c>
      <c r="AE54" s="2">
        <v>42948</v>
      </c>
      <c r="AF54" s="3">
        <v>26089169</v>
      </c>
      <c r="AG54">
        <f t="shared" si="6"/>
        <v>6.2757039137582349E-2</v>
      </c>
      <c r="AJ54" s="2">
        <v>42948</v>
      </c>
      <c r="AK54" s="3">
        <v>57242256</v>
      </c>
      <c r="AL54">
        <f t="shared" si="7"/>
        <v>-1.6652907600287453E-3</v>
      </c>
      <c r="AO54" s="2">
        <v>42948</v>
      </c>
      <c r="AP54" s="3">
        <v>1777080566</v>
      </c>
      <c r="AQ54">
        <f t="shared" si="8"/>
        <v>-1.8225500643958985E-2</v>
      </c>
      <c r="AT54" s="2">
        <v>42948</v>
      </c>
      <c r="AU54" s="3">
        <v>46959999</v>
      </c>
      <c r="AV54">
        <f t="shared" si="9"/>
        <v>-2.2998254322790766E-2</v>
      </c>
    </row>
    <row r="55" spans="1:48" x14ac:dyDescent="0.3">
      <c r="A55" s="2">
        <v>42979</v>
      </c>
      <c r="B55" s="3">
        <v>36451271</v>
      </c>
      <c r="C55">
        <f t="shared" si="0"/>
        <v>9.6807570852604843E-2</v>
      </c>
      <c r="F55" s="2">
        <v>42979</v>
      </c>
      <c r="G55" s="3">
        <v>25515724</v>
      </c>
      <c r="H55">
        <f t="shared" si="1"/>
        <v>9.8323175152701919E-2</v>
      </c>
      <c r="K55" s="2">
        <v>42979</v>
      </c>
      <c r="L55" s="3">
        <v>212142792</v>
      </c>
      <c r="M55">
        <f t="shared" si="2"/>
        <v>2.2302897757657494E-2</v>
      </c>
      <c r="P55" s="2">
        <v>42979</v>
      </c>
      <c r="Q55" s="3">
        <v>80905426</v>
      </c>
      <c r="R55">
        <f t="shared" si="3"/>
        <v>5.3397654688821489E-2</v>
      </c>
      <c r="U55" s="2">
        <v>42979</v>
      </c>
      <c r="V55" s="3">
        <v>69623421</v>
      </c>
      <c r="W55">
        <f t="shared" si="4"/>
        <v>0.11666011068315646</v>
      </c>
      <c r="Z55" s="2">
        <v>42979</v>
      </c>
      <c r="AA55" s="3">
        <v>73594887</v>
      </c>
      <c r="AB55">
        <f t="shared" si="5"/>
        <v>8.466209072377541E-2</v>
      </c>
      <c r="AE55" s="2">
        <v>42979</v>
      </c>
      <c r="AF55" s="3">
        <v>27726448</v>
      </c>
      <c r="AG55">
        <f t="shared" si="6"/>
        <v>-1.7927106999064576E-2</v>
      </c>
      <c r="AJ55" s="2">
        <v>42979</v>
      </c>
      <c r="AK55" s="3">
        <v>57146931</v>
      </c>
      <c r="AL55">
        <f t="shared" si="7"/>
        <v>-4.7539630780872554E-2</v>
      </c>
      <c r="AO55" s="2">
        <v>42979</v>
      </c>
      <c r="AP55" s="3">
        <v>1744692383</v>
      </c>
      <c r="AQ55">
        <f t="shared" si="8"/>
        <v>5.9110849571468553E-2</v>
      </c>
      <c r="AT55" s="2">
        <v>42979</v>
      </c>
      <c r="AU55" s="3">
        <v>45880001</v>
      </c>
      <c r="AV55">
        <f t="shared" si="9"/>
        <v>0.19485612042597819</v>
      </c>
    </row>
    <row r="56" spans="1:48" x14ac:dyDescent="0.3">
      <c r="A56" s="2">
        <v>43009</v>
      </c>
      <c r="B56" s="3">
        <v>39980030</v>
      </c>
      <c r="C56">
        <f t="shared" si="0"/>
        <v>1.6623499282016545E-2</v>
      </c>
      <c r="F56" s="2">
        <v>43009</v>
      </c>
      <c r="G56" s="3">
        <v>28024511</v>
      </c>
      <c r="H56">
        <f t="shared" si="1"/>
        <v>-7.7029818646969436E-2</v>
      </c>
      <c r="K56" s="2">
        <v>43009</v>
      </c>
      <c r="L56" s="3">
        <v>216874191</v>
      </c>
      <c r="M56">
        <f t="shared" si="2"/>
        <v>2.1280139322802132E-2</v>
      </c>
      <c r="P56" s="2">
        <v>43009</v>
      </c>
      <c r="Q56" s="3">
        <v>85225586</v>
      </c>
      <c r="R56">
        <f t="shared" si="3"/>
        <v>4.4935285044563962E-2</v>
      </c>
      <c r="U56" s="2">
        <v>43009</v>
      </c>
      <c r="V56" s="3">
        <v>77745697</v>
      </c>
      <c r="W56">
        <f t="shared" si="4"/>
        <v>1.1902022050172115E-2</v>
      </c>
      <c r="Z56" s="2">
        <v>43009</v>
      </c>
      <c r="AA56" s="3">
        <v>79825584</v>
      </c>
      <c r="AB56">
        <f t="shared" si="5"/>
        <v>4.3299664428386772E-2</v>
      </c>
      <c r="AE56" s="2">
        <v>43009</v>
      </c>
      <c r="AF56" s="3">
        <v>27229393</v>
      </c>
      <c r="AG56">
        <f t="shared" si="6"/>
        <v>3.4226910603552568E-2</v>
      </c>
      <c r="AJ56" s="2">
        <v>43009</v>
      </c>
      <c r="AK56" s="3">
        <v>54430187</v>
      </c>
      <c r="AL56">
        <f t="shared" si="7"/>
        <v>-1.9264475427945894E-2</v>
      </c>
      <c r="AO56" s="2">
        <v>43009</v>
      </c>
      <c r="AP56" s="3">
        <v>1847822632</v>
      </c>
      <c r="AQ56">
        <f t="shared" si="8"/>
        <v>-1.1531401137206116E-2</v>
      </c>
      <c r="AT56" s="2">
        <v>43009</v>
      </c>
      <c r="AU56" s="3">
        <v>54820000</v>
      </c>
      <c r="AV56">
        <f t="shared" si="9"/>
        <v>0.13279821233126596</v>
      </c>
    </row>
    <row r="57" spans="1:48" x14ac:dyDescent="0.3">
      <c r="A57" s="2">
        <v>43040</v>
      </c>
      <c r="B57" s="3">
        <v>40644638</v>
      </c>
      <c r="C57">
        <f t="shared" si="0"/>
        <v>-1.1705947534826119E-2</v>
      </c>
      <c r="F57" s="2">
        <v>43040</v>
      </c>
      <c r="G57" s="3">
        <v>25865788</v>
      </c>
      <c r="H57">
        <f t="shared" si="1"/>
        <v>1.5413526160502049E-2</v>
      </c>
      <c r="K57" s="2">
        <v>43040</v>
      </c>
      <c r="L57" s="3">
        <v>221489304</v>
      </c>
      <c r="M57">
        <f t="shared" si="2"/>
        <v>3.1984239744597326E-2</v>
      </c>
      <c r="P57" s="2">
        <v>43040</v>
      </c>
      <c r="Q57" s="3">
        <v>89055222</v>
      </c>
      <c r="R57">
        <f t="shared" si="3"/>
        <v>2.3153791026426278E-2</v>
      </c>
      <c r="U57" s="2">
        <v>43040</v>
      </c>
      <c r="V57" s="3">
        <v>78671028</v>
      </c>
      <c r="W57">
        <f t="shared" si="4"/>
        <v>2.138036126844561E-2</v>
      </c>
      <c r="Z57" s="2">
        <v>43040</v>
      </c>
      <c r="AA57" s="3">
        <v>83282005</v>
      </c>
      <c r="AB57">
        <f t="shared" si="5"/>
        <v>3.8519845913892203E-3</v>
      </c>
      <c r="AE57" s="2">
        <v>43040</v>
      </c>
      <c r="AF57" s="3">
        <v>28161371</v>
      </c>
      <c r="AG57">
        <f t="shared" si="6"/>
        <v>8.0245738035978429E-3</v>
      </c>
      <c r="AJ57" s="2">
        <v>43040</v>
      </c>
      <c r="AK57" s="3">
        <v>53381618</v>
      </c>
      <c r="AL57">
        <f t="shared" si="7"/>
        <v>8.7499989228501843E-2</v>
      </c>
      <c r="AO57" s="2">
        <v>43040</v>
      </c>
      <c r="AP57" s="3">
        <v>1826514648</v>
      </c>
      <c r="AQ57">
        <f t="shared" si="8"/>
        <v>0</v>
      </c>
      <c r="AT57" s="2">
        <v>43040</v>
      </c>
      <c r="AU57" s="3">
        <v>62099998</v>
      </c>
      <c r="AV57">
        <f t="shared" si="9"/>
        <v>8.7278569638601283E-2</v>
      </c>
    </row>
    <row r="58" spans="1:48" x14ac:dyDescent="0.3">
      <c r="A58" s="2">
        <v>43070</v>
      </c>
      <c r="B58" s="3">
        <v>40168854</v>
      </c>
      <c r="C58">
        <f t="shared" si="0"/>
        <v>-1.0636350242902125E-2</v>
      </c>
      <c r="F58" s="2">
        <v>43070</v>
      </c>
      <c r="G58" s="3">
        <v>26264471</v>
      </c>
      <c r="H58">
        <f t="shared" si="1"/>
        <v>-3.7031014254960628E-4</v>
      </c>
      <c r="K58" s="2">
        <v>43070</v>
      </c>
      <c r="L58" s="3">
        <v>228573471</v>
      </c>
      <c r="M58">
        <f t="shared" si="2"/>
        <v>5.1538771968860725E-2</v>
      </c>
      <c r="P58" s="2">
        <v>43070</v>
      </c>
      <c r="Q58" s="3">
        <v>91117188</v>
      </c>
      <c r="R58">
        <f t="shared" si="3"/>
        <v>8.1634444206070106E-2</v>
      </c>
      <c r="U58" s="2">
        <v>43070</v>
      </c>
      <c r="V58" s="3">
        <v>80353043</v>
      </c>
      <c r="W58">
        <f t="shared" si="4"/>
        <v>0.11070814082299285</v>
      </c>
      <c r="Z58" s="2">
        <v>43070</v>
      </c>
      <c r="AA58" s="3">
        <v>83602806</v>
      </c>
      <c r="AB58">
        <f t="shared" si="5"/>
        <v>-9.0938694091200714E-2</v>
      </c>
      <c r="AE58" s="2">
        <v>43070</v>
      </c>
      <c r="AF58" s="3">
        <v>28387354</v>
      </c>
      <c r="AG58">
        <f t="shared" si="6"/>
        <v>2.2639341447603746E-2</v>
      </c>
      <c r="AJ58" s="2">
        <v>43070</v>
      </c>
      <c r="AK58" s="3">
        <v>58052509</v>
      </c>
      <c r="AL58">
        <f t="shared" si="7"/>
        <v>-2.4630459985803543E-3</v>
      </c>
      <c r="AO58" s="2">
        <v>43070</v>
      </c>
      <c r="AP58" s="3">
        <v>1826514648</v>
      </c>
      <c r="AQ58">
        <f t="shared" si="8"/>
        <v>-4.1530440001157874E-2</v>
      </c>
      <c r="AT58" s="2">
        <v>43070</v>
      </c>
      <c r="AU58" s="3">
        <v>67519997</v>
      </c>
      <c r="AV58">
        <f t="shared" si="9"/>
        <v>-5.1836347089885089E-3</v>
      </c>
    </row>
    <row r="59" spans="1:48" x14ac:dyDescent="0.3">
      <c r="A59" s="2">
        <v>43101</v>
      </c>
      <c r="B59" s="3">
        <v>39741604</v>
      </c>
      <c r="C59">
        <f t="shared" si="0"/>
        <v>6.3847724918199081E-2</v>
      </c>
      <c r="F59" s="2">
        <v>43101</v>
      </c>
      <c r="G59" s="3">
        <v>26254745</v>
      </c>
      <c r="H59">
        <f t="shared" si="1"/>
        <v>-4.444442328424824E-2</v>
      </c>
      <c r="K59" s="2">
        <v>43101</v>
      </c>
      <c r="L59" s="3">
        <v>240353867</v>
      </c>
      <c r="M59">
        <f t="shared" si="2"/>
        <v>-1.851499231339598E-2</v>
      </c>
      <c r="P59" s="2">
        <v>43101</v>
      </c>
      <c r="Q59" s="3">
        <v>98555489</v>
      </c>
      <c r="R59">
        <f t="shared" si="3"/>
        <v>3.7319585517961358E-3</v>
      </c>
      <c r="U59" s="2">
        <v>43101</v>
      </c>
      <c r="V59" s="3">
        <v>89248779</v>
      </c>
      <c r="W59">
        <f t="shared" si="4"/>
        <v>-1.3051181350055221E-2</v>
      </c>
      <c r="Z59" s="2">
        <v>43101</v>
      </c>
      <c r="AA59" s="3">
        <v>76000076</v>
      </c>
      <c r="AB59">
        <f t="shared" si="5"/>
        <v>-4.5809941032164229E-2</v>
      </c>
      <c r="AE59" s="2">
        <v>43101</v>
      </c>
      <c r="AF59" s="3">
        <v>29030025</v>
      </c>
      <c r="AG59">
        <f t="shared" si="6"/>
        <v>-1.9708215890272225E-2</v>
      </c>
      <c r="AJ59" s="2">
        <v>43101</v>
      </c>
      <c r="AK59" s="3">
        <v>57909523</v>
      </c>
      <c r="AL59">
        <f t="shared" si="7"/>
        <v>-7.4073999884267739E-3</v>
      </c>
      <c r="AO59" s="2">
        <v>43101</v>
      </c>
      <c r="AP59" s="3">
        <v>1750658691</v>
      </c>
      <c r="AQ59">
        <f t="shared" si="8"/>
        <v>0.11587149570778328</v>
      </c>
      <c r="AT59" s="2">
        <v>43101</v>
      </c>
      <c r="AU59" s="3">
        <v>67169998</v>
      </c>
      <c r="AV59">
        <f t="shared" si="9"/>
        <v>-6.4314427998047582E-2</v>
      </c>
    </row>
    <row r="60" spans="1:48" x14ac:dyDescent="0.3">
      <c r="A60" s="2">
        <v>43132</v>
      </c>
      <c r="B60" s="3">
        <v>42279015</v>
      </c>
      <c r="C60">
        <f t="shared" si="0"/>
        <v>-5.4210676384016991E-2</v>
      </c>
      <c r="F60" s="2">
        <v>43132</v>
      </c>
      <c r="G60" s="3">
        <v>25087868</v>
      </c>
      <c r="H60">
        <f t="shared" si="1"/>
        <v>-1.1627931078081246E-2</v>
      </c>
      <c r="K60" s="2">
        <v>43132</v>
      </c>
      <c r="L60" s="3">
        <v>235903717</v>
      </c>
      <c r="M60">
        <f t="shared" si="2"/>
        <v>-3.9413690120024686E-2</v>
      </c>
      <c r="P60" s="2">
        <v>43132</v>
      </c>
      <c r="Q60" s="3">
        <v>98923294</v>
      </c>
      <c r="R60">
        <f t="shared" si="3"/>
        <v>-4.7878793846068246E-2</v>
      </c>
      <c r="U60" s="2">
        <v>43132</v>
      </c>
      <c r="V60" s="3">
        <v>88083977</v>
      </c>
      <c r="W60">
        <f t="shared" si="4"/>
        <v>-2.2088739249364275E-2</v>
      </c>
      <c r="Z60" s="2">
        <v>43132</v>
      </c>
      <c r="AA60" s="3">
        <v>72518517</v>
      </c>
      <c r="AB60">
        <f t="shared" si="5"/>
        <v>4.0382003399214578E-2</v>
      </c>
      <c r="AE60" s="2">
        <v>43132</v>
      </c>
      <c r="AF60" s="3">
        <v>28457895</v>
      </c>
      <c r="AG60">
        <f t="shared" si="6"/>
        <v>-1.3528161517216928E-2</v>
      </c>
      <c r="AJ60" s="2">
        <v>43132</v>
      </c>
      <c r="AK60" s="3">
        <v>57480564</v>
      </c>
      <c r="AL60">
        <f t="shared" si="7"/>
        <v>-2.155886988165252E-2</v>
      </c>
      <c r="AO60" s="2">
        <v>43132</v>
      </c>
      <c r="AP60" s="3">
        <v>1953510132</v>
      </c>
      <c r="AQ60">
        <f t="shared" si="8"/>
        <v>-0.13568943137685247</v>
      </c>
      <c r="AT60" s="2">
        <v>43132</v>
      </c>
      <c r="AU60" s="3">
        <v>62849998</v>
      </c>
      <c r="AV60">
        <f t="shared" si="9"/>
        <v>0.12935569226271096</v>
      </c>
    </row>
    <row r="61" spans="1:48" x14ac:dyDescent="0.3">
      <c r="A61" s="2">
        <v>43160</v>
      </c>
      <c r="B61" s="3">
        <v>39987041</v>
      </c>
      <c r="C61">
        <f t="shared" si="0"/>
        <v>-1.501941591527115E-2</v>
      </c>
      <c r="F61" s="2">
        <v>43160</v>
      </c>
      <c r="G61" s="3">
        <v>24796148</v>
      </c>
      <c r="H61">
        <f t="shared" si="1"/>
        <v>8.2352952563438483E-2</v>
      </c>
      <c r="K61" s="2">
        <v>43160</v>
      </c>
      <c r="L61" s="3">
        <v>226605881</v>
      </c>
      <c r="M61">
        <f t="shared" si="2"/>
        <v>-5.3720384247220837E-2</v>
      </c>
      <c r="P61" s="2">
        <v>43160</v>
      </c>
      <c r="Q61" s="3">
        <v>94186966</v>
      </c>
      <c r="R61">
        <f t="shared" si="3"/>
        <v>-1.0821062014037059E-2</v>
      </c>
      <c r="U61" s="2">
        <v>43160</v>
      </c>
      <c r="V61" s="3">
        <v>86138313</v>
      </c>
      <c r="W61">
        <f t="shared" si="4"/>
        <v>2.4652096448649977E-2</v>
      </c>
      <c r="Z61" s="2">
        <v>43160</v>
      </c>
      <c r="AA61" s="3">
        <v>75446960</v>
      </c>
      <c r="AB61">
        <f t="shared" si="5"/>
        <v>5.4182514444584648E-2</v>
      </c>
      <c r="AE61" s="2">
        <v>43160</v>
      </c>
      <c r="AF61" s="3">
        <v>28072912</v>
      </c>
      <c r="AG61">
        <f t="shared" si="6"/>
        <v>3.1557965913903051E-2</v>
      </c>
      <c r="AJ61" s="2">
        <v>43160</v>
      </c>
      <c r="AK61" s="3">
        <v>56241348</v>
      </c>
      <c r="AL61">
        <f t="shared" si="7"/>
        <v>8.4745781697835545E-2</v>
      </c>
      <c r="AO61" s="2">
        <v>43160</v>
      </c>
      <c r="AP61" s="3">
        <v>1688439453</v>
      </c>
      <c r="AQ61">
        <f t="shared" si="8"/>
        <v>0.14050605224752469</v>
      </c>
      <c r="AT61" s="2">
        <v>43160</v>
      </c>
      <c r="AU61" s="3">
        <v>70980003</v>
      </c>
      <c r="AV61">
        <f t="shared" si="9"/>
        <v>-9.861791637286912E-4</v>
      </c>
    </row>
    <row r="62" spans="1:48" x14ac:dyDescent="0.3">
      <c r="A62" s="2">
        <v>43191</v>
      </c>
      <c r="B62" s="3">
        <v>39386459</v>
      </c>
      <c r="C62">
        <f t="shared" si="0"/>
        <v>0.13076367184975932</v>
      </c>
      <c r="F62" s="2">
        <v>43191</v>
      </c>
      <c r="G62" s="3">
        <v>26838184</v>
      </c>
      <c r="H62">
        <f t="shared" si="1"/>
        <v>0.24094201008533214</v>
      </c>
      <c r="K62" s="2">
        <v>43191</v>
      </c>
      <c r="L62" s="3">
        <v>214432526</v>
      </c>
      <c r="M62">
        <f t="shared" si="2"/>
        <v>-5.2238483633774847E-2</v>
      </c>
      <c r="P62" s="2">
        <v>43191</v>
      </c>
      <c r="Q62" s="3">
        <v>93167763</v>
      </c>
      <c r="R62">
        <f t="shared" si="3"/>
        <v>-1.1282969196115614E-2</v>
      </c>
      <c r="U62" s="2">
        <v>43191</v>
      </c>
      <c r="V62" s="3">
        <v>88261803</v>
      </c>
      <c r="W62">
        <f t="shared" si="4"/>
        <v>5.6886408722015343E-2</v>
      </c>
      <c r="Z62" s="2">
        <v>43191</v>
      </c>
      <c r="AA62" s="3">
        <v>79534866</v>
      </c>
      <c r="AB62">
        <f t="shared" si="5"/>
        <v>-3.973219744910364E-2</v>
      </c>
      <c r="AE62" s="2">
        <v>43191</v>
      </c>
      <c r="AF62" s="3">
        <v>28958836</v>
      </c>
      <c r="AG62">
        <f t="shared" si="6"/>
        <v>-1.8574227223773773E-2</v>
      </c>
      <c r="AJ62" s="2">
        <v>43191</v>
      </c>
      <c r="AK62" s="3">
        <v>61007565</v>
      </c>
      <c r="AL62">
        <f t="shared" si="7"/>
        <v>-0.12500002253818851</v>
      </c>
      <c r="AO62" s="2">
        <v>43191</v>
      </c>
      <c r="AP62" s="3">
        <v>1925675415</v>
      </c>
      <c r="AQ62">
        <f t="shared" si="8"/>
        <v>0.10994525367609785</v>
      </c>
      <c r="AT62" s="2">
        <v>43191</v>
      </c>
      <c r="AU62" s="3">
        <v>70910004</v>
      </c>
      <c r="AV62">
        <f t="shared" si="9"/>
        <v>-4.6537904581136394E-2</v>
      </c>
    </row>
    <row r="63" spans="1:48" x14ac:dyDescent="0.3">
      <c r="A63" s="2">
        <v>43221</v>
      </c>
      <c r="B63" s="3">
        <v>44536777</v>
      </c>
      <c r="C63">
        <f t="shared" si="0"/>
        <v>-5.5984293609750877E-3</v>
      </c>
      <c r="F63" s="2">
        <v>43221</v>
      </c>
      <c r="G63" s="3">
        <v>33304630</v>
      </c>
      <c r="H63">
        <f t="shared" si="1"/>
        <v>0.12664890737413986</v>
      </c>
      <c r="K63" s="2">
        <v>43221</v>
      </c>
      <c r="L63" s="3">
        <v>203230896</v>
      </c>
      <c r="M63">
        <f t="shared" si="2"/>
        <v>-2.0054898542591675E-2</v>
      </c>
      <c r="P63" s="2">
        <v>43221</v>
      </c>
      <c r="Q63" s="3">
        <v>92116554</v>
      </c>
      <c r="R63">
        <f t="shared" si="3"/>
        <v>-2.6259286685865389E-2</v>
      </c>
      <c r="U63" s="2">
        <v>43221</v>
      </c>
      <c r="V63" s="3">
        <v>93282700</v>
      </c>
      <c r="W63">
        <f t="shared" si="4"/>
        <v>1.997251366008917E-3</v>
      </c>
      <c r="Z63" s="2">
        <v>43221</v>
      </c>
      <c r="AA63" s="3">
        <v>76374771</v>
      </c>
      <c r="AB63">
        <f t="shared" si="5"/>
        <v>3.2587384124529814E-2</v>
      </c>
      <c r="AE63" s="2">
        <v>43221</v>
      </c>
      <c r="AF63" s="3">
        <v>28420948</v>
      </c>
      <c r="AG63">
        <f t="shared" si="6"/>
        <v>1.9597938816115493E-2</v>
      </c>
      <c r="AJ63" s="2">
        <v>43221</v>
      </c>
      <c r="AK63" s="3">
        <v>53381618</v>
      </c>
      <c r="AL63">
        <f t="shared" si="7"/>
        <v>-2.3673336390815279E-2</v>
      </c>
      <c r="AO63" s="2">
        <v>43221</v>
      </c>
      <c r="AP63" s="3">
        <v>2137394287</v>
      </c>
      <c r="AQ63">
        <f t="shared" si="8"/>
        <v>-3.7813456549208042E-2</v>
      </c>
      <c r="AT63" s="2">
        <v>43221</v>
      </c>
      <c r="AU63" s="3">
        <v>67610001</v>
      </c>
      <c r="AV63">
        <f t="shared" si="9"/>
        <v>-0.22112114744681041</v>
      </c>
    </row>
    <row r="64" spans="1:48" x14ac:dyDescent="0.3">
      <c r="A64" s="2">
        <v>43252</v>
      </c>
      <c r="B64" s="3">
        <v>44287441</v>
      </c>
      <c r="C64">
        <f t="shared" si="0"/>
        <v>2.7983192797253739E-2</v>
      </c>
      <c r="F64" s="2">
        <v>43252</v>
      </c>
      <c r="G64" s="3">
        <v>37522625</v>
      </c>
      <c r="H64">
        <f t="shared" si="1"/>
        <v>-7.1895503046495279E-2</v>
      </c>
      <c r="K64" s="2">
        <v>43252</v>
      </c>
      <c r="L64" s="3">
        <v>199155121</v>
      </c>
      <c r="M64">
        <f t="shared" si="2"/>
        <v>7.6438245341429109E-2</v>
      </c>
      <c r="P64" s="2">
        <v>43252</v>
      </c>
      <c r="Q64" s="3">
        <v>89697639</v>
      </c>
      <c r="R64">
        <f t="shared" si="3"/>
        <v>0.10316701869934392</v>
      </c>
      <c r="U64" s="2">
        <v>43252</v>
      </c>
      <c r="V64" s="3">
        <v>93469009</v>
      </c>
      <c r="W64">
        <f t="shared" si="4"/>
        <v>7.5753098013481665E-2</v>
      </c>
      <c r="Z64" s="2">
        <v>43252</v>
      </c>
      <c r="AA64" s="3">
        <v>78863625</v>
      </c>
      <c r="AB64">
        <f t="shared" si="5"/>
        <v>3.3614508589986831E-2</v>
      </c>
      <c r="AE64" s="2">
        <v>43252</v>
      </c>
      <c r="AF64" s="3">
        <v>28977940</v>
      </c>
      <c r="AG64">
        <f t="shared" si="6"/>
        <v>0.10060659936489619</v>
      </c>
      <c r="AJ64" s="2">
        <v>43252</v>
      </c>
      <c r="AK64" s="3">
        <v>52117897</v>
      </c>
      <c r="AL64">
        <f t="shared" si="7"/>
        <v>2.2492983552271882E-2</v>
      </c>
      <c r="AO64" s="2">
        <v>43252</v>
      </c>
      <c r="AP64" s="3">
        <v>2056572021</v>
      </c>
      <c r="AQ64">
        <f t="shared" si="8"/>
        <v>-8.5431980113474474E-3</v>
      </c>
      <c r="AT64" s="2">
        <v>43252</v>
      </c>
      <c r="AU64" s="3">
        <v>52660000</v>
      </c>
      <c r="AV64">
        <f t="shared" si="9"/>
        <v>-5.8868590960881127E-3</v>
      </c>
    </row>
    <row r="65" spans="1:48" x14ac:dyDescent="0.3">
      <c r="A65" s="2">
        <v>43282</v>
      </c>
      <c r="B65" s="3">
        <v>45526745</v>
      </c>
      <c r="C65">
        <f t="shared" si="0"/>
        <v>0.19622670146965263</v>
      </c>
      <c r="F65" s="2">
        <v>43282</v>
      </c>
      <c r="G65" s="3">
        <v>34824917</v>
      </c>
      <c r="H65">
        <f t="shared" si="1"/>
        <v>6.9014148691294797E-2</v>
      </c>
      <c r="K65" s="2">
        <v>43282</v>
      </c>
      <c r="L65" s="3">
        <v>214378189</v>
      </c>
      <c r="M65">
        <f t="shared" si="2"/>
        <v>1.6004146765135701E-3</v>
      </c>
      <c r="P65" s="2">
        <v>43282</v>
      </c>
      <c r="Q65" s="3">
        <v>98951477</v>
      </c>
      <c r="R65">
        <f t="shared" si="3"/>
        <v>2.1981885121330732E-3</v>
      </c>
      <c r="U65" s="2">
        <v>43282</v>
      </c>
      <c r="V65" s="3">
        <v>100549576</v>
      </c>
      <c r="W65">
        <f t="shared" si="4"/>
        <v>5.8917612939511553E-2</v>
      </c>
      <c r="Z65" s="2">
        <v>43282</v>
      </c>
      <c r="AA65" s="3">
        <v>81514587</v>
      </c>
      <c r="AB65">
        <f t="shared" si="5"/>
        <v>-8.1584293618515175E-3</v>
      </c>
      <c r="AE65" s="2">
        <v>43282</v>
      </c>
      <c r="AF65" s="3">
        <v>31893312</v>
      </c>
      <c r="AG65">
        <f t="shared" si="6"/>
        <v>3.9819633658617834E-2</v>
      </c>
      <c r="AJ65" s="2">
        <v>43282</v>
      </c>
      <c r="AK65" s="3">
        <v>53290184</v>
      </c>
      <c r="AL65">
        <f t="shared" si="7"/>
        <v>9.5325360482898691E-2</v>
      </c>
      <c r="AO65" s="2">
        <v>43282</v>
      </c>
      <c r="AP65" s="3">
        <v>2039002319</v>
      </c>
      <c r="AQ65">
        <f t="shared" si="8"/>
        <v>0.16415325273595238</v>
      </c>
      <c r="AT65" s="2">
        <v>43282</v>
      </c>
      <c r="AU65" s="3">
        <v>52349998</v>
      </c>
      <c r="AV65">
        <f t="shared" si="9"/>
        <v>-5.1575169114619641E-3</v>
      </c>
    </row>
    <row r="66" spans="1:48" x14ac:dyDescent="0.3">
      <c r="A66" s="2">
        <v>43313</v>
      </c>
      <c r="B66" s="3">
        <v>54460308</v>
      </c>
      <c r="C66">
        <f t="shared" si="0"/>
        <v>-4.824871721254312E-3</v>
      </c>
      <c r="F66" s="2">
        <v>43313</v>
      </c>
      <c r="G66" s="3">
        <v>37228329</v>
      </c>
      <c r="H66">
        <f t="shared" si="1"/>
        <v>-0.11594197526297782</v>
      </c>
      <c r="K66" s="2">
        <v>43313</v>
      </c>
      <c r="L66" s="3">
        <v>214721283</v>
      </c>
      <c r="M66">
        <f t="shared" si="2"/>
        <v>-5.3939483027399759E-2</v>
      </c>
      <c r="P66" s="2">
        <v>43313</v>
      </c>
      <c r="Q66" s="3">
        <v>99168991</v>
      </c>
      <c r="R66">
        <f t="shared" si="3"/>
        <v>-1.5185855828663216E-2</v>
      </c>
      <c r="U66" s="2">
        <v>43313</v>
      </c>
      <c r="V66" s="3">
        <v>106473717</v>
      </c>
      <c r="W66">
        <f t="shared" si="4"/>
        <v>2.2078969967771481E-2</v>
      </c>
      <c r="Z66" s="2">
        <v>43313</v>
      </c>
      <c r="AA66" s="3">
        <v>80849556</v>
      </c>
      <c r="AB66">
        <f t="shared" si="5"/>
        <v>1.0243160766399261E-2</v>
      </c>
      <c r="AE66" s="2">
        <v>43313</v>
      </c>
      <c r="AF66" s="3">
        <v>33163292</v>
      </c>
      <c r="AG66">
        <f t="shared" si="6"/>
        <v>7.0454133443688283E-2</v>
      </c>
      <c r="AJ66" s="2">
        <v>43313</v>
      </c>
      <c r="AK66" s="3">
        <v>58370090</v>
      </c>
      <c r="AL66">
        <f t="shared" si="7"/>
        <v>-1.6736397014292765E-2</v>
      </c>
      <c r="AO66" s="2">
        <v>43313</v>
      </c>
      <c r="AP66" s="3">
        <v>2373711182</v>
      </c>
      <c r="AQ66">
        <f t="shared" si="8"/>
        <v>1.5544105062062264E-2</v>
      </c>
      <c r="AT66" s="2">
        <v>43313</v>
      </c>
      <c r="AU66" s="3">
        <v>52080002</v>
      </c>
      <c r="AV66">
        <f t="shared" si="9"/>
        <v>-7.0276571801974969E-2</v>
      </c>
    </row>
    <row r="67" spans="1:48" x14ac:dyDescent="0.3">
      <c r="A67" s="2">
        <v>43344</v>
      </c>
      <c r="B67" s="3">
        <v>54197544</v>
      </c>
      <c r="C67">
        <f t="shared" si="0"/>
        <v>-3.0477506508413001E-2</v>
      </c>
      <c r="F67" s="2">
        <v>43344</v>
      </c>
      <c r="G67" s="3">
        <v>32912003</v>
      </c>
      <c r="H67">
        <f t="shared" si="1"/>
        <v>-9.8360710528617779E-2</v>
      </c>
      <c r="K67" s="2">
        <v>43344</v>
      </c>
      <c r="L67" s="3">
        <v>203139328</v>
      </c>
      <c r="M67">
        <f t="shared" si="2"/>
        <v>5.0391571640918294E-3</v>
      </c>
      <c r="P67" s="2">
        <v>43344</v>
      </c>
      <c r="Q67" s="3">
        <v>97663025</v>
      </c>
      <c r="R67">
        <f t="shared" si="3"/>
        <v>-3.3853508019027673E-2</v>
      </c>
      <c r="U67" s="2">
        <v>43344</v>
      </c>
      <c r="V67" s="3">
        <v>108824547</v>
      </c>
      <c r="W67">
        <f t="shared" si="4"/>
        <v>-6.6101437573638608E-2</v>
      </c>
      <c r="Z67" s="2">
        <v>43344</v>
      </c>
      <c r="AA67" s="3">
        <v>81677711</v>
      </c>
      <c r="AB67">
        <f t="shared" si="5"/>
        <v>6.365702388501069E-3</v>
      </c>
      <c r="AE67" s="2">
        <v>43344</v>
      </c>
      <c r="AF67" s="3">
        <v>35499783</v>
      </c>
      <c r="AG67">
        <f t="shared" si="6"/>
        <v>-2.291819642953874E-2</v>
      </c>
      <c r="AJ67" s="2">
        <v>43344</v>
      </c>
      <c r="AK67" s="3">
        <v>57393185</v>
      </c>
      <c r="AL67">
        <f t="shared" si="7"/>
        <v>-7.9999986061062831E-2</v>
      </c>
      <c r="AO67" s="2">
        <v>43344</v>
      </c>
      <c r="AP67" s="3">
        <v>2410608398</v>
      </c>
      <c r="AQ67">
        <f t="shared" si="8"/>
        <v>-0.13083090570067782</v>
      </c>
      <c r="AT67" s="2">
        <v>43344</v>
      </c>
      <c r="AU67" s="3">
        <v>48419998</v>
      </c>
      <c r="AV67">
        <f t="shared" si="9"/>
        <v>-0.13672034848080744</v>
      </c>
    </row>
    <row r="68" spans="1:48" x14ac:dyDescent="0.3">
      <c r="A68" s="2">
        <v>43374</v>
      </c>
      <c r="B68" s="3">
        <v>52545738</v>
      </c>
      <c r="C68">
        <f t="shared" ref="C68:C120" si="10">(B69-B68)/B68</f>
        <v>-0.18404440337292435</v>
      </c>
      <c r="F68" s="2">
        <v>43374</v>
      </c>
      <c r="G68" s="3">
        <v>29674755</v>
      </c>
      <c r="H68">
        <f t="shared" ref="H68:H120" si="11">(G69-G68)/G68</f>
        <v>-1.3223125178287066E-2</v>
      </c>
      <c r="K68" s="2">
        <v>43374</v>
      </c>
      <c r="L68" s="3">
        <v>204162979</v>
      </c>
      <c r="M68">
        <f t="shared" ref="M68:M120" si="12">(L69-L68)/L68</f>
        <v>-0.15388027816737529</v>
      </c>
      <c r="P68" s="2">
        <v>43374</v>
      </c>
      <c r="Q68" s="3">
        <v>94356789</v>
      </c>
      <c r="R68">
        <f t="shared" ref="R68:R120" si="13">(Q69-Q68)/Q68</f>
        <v>2.7046861461129203E-2</v>
      </c>
      <c r="U68" s="2">
        <v>43374</v>
      </c>
      <c r="V68" s="3">
        <v>101631088</v>
      </c>
      <c r="W68">
        <f t="shared" ref="W68:W120" si="14">(V69-V68)/V68</f>
        <v>3.8198813733057745E-2</v>
      </c>
      <c r="Z68" s="2">
        <v>43374</v>
      </c>
      <c r="AA68" s="3">
        <v>82197647</v>
      </c>
      <c r="AB68">
        <f t="shared" ref="AB68:AB120" si="15">(AA69-AA68)/AA68</f>
        <v>7.7713830421447472E-2</v>
      </c>
      <c r="AE68" s="2">
        <v>43374</v>
      </c>
      <c r="AF68" s="3">
        <v>34686192</v>
      </c>
      <c r="AG68">
        <f t="shared" ref="AG68:AG120" si="16">(AF69-AF68)/AF68</f>
        <v>7.3618084106782319E-2</v>
      </c>
      <c r="AJ68" s="2">
        <v>43374</v>
      </c>
      <c r="AK68" s="3">
        <v>52801731</v>
      </c>
      <c r="AL68">
        <f t="shared" ref="AL68:AL120" si="17">(AK69-AK68)/AK68</f>
        <v>-0.22368181452233071</v>
      </c>
      <c r="AO68" s="2">
        <v>43374</v>
      </c>
      <c r="AP68" s="3">
        <v>2095226318</v>
      </c>
      <c r="AQ68">
        <f t="shared" ref="AQ68:AQ120" si="18">(AP69-AP68)/AP68</f>
        <v>-0.18742136905517812</v>
      </c>
      <c r="AT68" s="2">
        <v>43374</v>
      </c>
      <c r="AU68" s="3">
        <v>41799999</v>
      </c>
      <c r="AV68">
        <f t="shared" ref="AV68:AV121" si="19">(AU69-AU68)/AU68</f>
        <v>6.339717855017174E-2</v>
      </c>
    </row>
    <row r="69" spans="1:48" x14ac:dyDescent="0.3">
      <c r="A69" s="2">
        <v>43405</v>
      </c>
      <c r="B69" s="3">
        <v>42874989</v>
      </c>
      <c r="C69">
        <f t="shared" si="10"/>
        <v>-0.11361644897448253</v>
      </c>
      <c r="F69" s="2">
        <v>43405</v>
      </c>
      <c r="G69" s="3">
        <v>29282362</v>
      </c>
      <c r="H69">
        <f t="shared" si="11"/>
        <v>6.7001425636360893E-3</v>
      </c>
      <c r="K69" s="2">
        <v>43405</v>
      </c>
      <c r="L69" s="3">
        <v>172746323</v>
      </c>
      <c r="M69">
        <f t="shared" si="12"/>
        <v>-0.12042342574203446</v>
      </c>
      <c r="P69" s="2">
        <v>43405</v>
      </c>
      <c r="Q69" s="3">
        <v>96908844</v>
      </c>
      <c r="R69">
        <f t="shared" si="13"/>
        <v>-0.12204326779504253</v>
      </c>
      <c r="U69" s="2">
        <v>43405</v>
      </c>
      <c r="V69" s="3">
        <v>105513275</v>
      </c>
      <c r="W69">
        <f t="shared" si="14"/>
        <v>-8.0090244568752134E-2</v>
      </c>
      <c r="Z69" s="2">
        <v>43405</v>
      </c>
      <c r="AA69" s="3">
        <v>88585541</v>
      </c>
      <c r="AB69">
        <f t="shared" si="15"/>
        <v>-4.3803062623955752E-2</v>
      </c>
      <c r="AE69" s="2">
        <v>43405</v>
      </c>
      <c r="AF69" s="3">
        <v>37239723</v>
      </c>
      <c r="AG69">
        <f t="shared" si="16"/>
        <v>-4.8521682075884399E-2</v>
      </c>
      <c r="AJ69" s="2">
        <v>43405</v>
      </c>
      <c r="AK69" s="3">
        <v>40990944</v>
      </c>
      <c r="AL69">
        <f t="shared" si="17"/>
        <v>-1.6205896599990475E-2</v>
      </c>
      <c r="AO69" s="2">
        <v>43405</v>
      </c>
      <c r="AP69" s="3">
        <v>1702536133</v>
      </c>
      <c r="AQ69">
        <f t="shared" si="18"/>
        <v>-0.12745096200551534</v>
      </c>
      <c r="AT69" s="2">
        <v>43405</v>
      </c>
      <c r="AU69" s="3">
        <v>44450001</v>
      </c>
      <c r="AV69">
        <f t="shared" si="19"/>
        <v>-4.4769447811710959E-2</v>
      </c>
    </row>
    <row r="70" spans="1:48" x14ac:dyDescent="0.3">
      <c r="A70" s="2">
        <v>43435</v>
      </c>
      <c r="B70" s="3">
        <v>38003685</v>
      </c>
      <c r="C70">
        <f t="shared" si="10"/>
        <v>5.515386205311406E-2</v>
      </c>
      <c r="F70" s="2">
        <v>43435</v>
      </c>
      <c r="G70" s="3">
        <v>29478558</v>
      </c>
      <c r="H70">
        <f t="shared" si="11"/>
        <v>4.9916790366747246E-2</v>
      </c>
      <c r="K70" s="2">
        <v>43435</v>
      </c>
      <c r="L70" s="3">
        <v>151943619</v>
      </c>
      <c r="M70">
        <f t="shared" si="12"/>
        <v>0.18533393626750461</v>
      </c>
      <c r="P70" s="2">
        <v>43435</v>
      </c>
      <c r="Q70" s="3">
        <v>85081772</v>
      </c>
      <c r="R70">
        <f t="shared" si="13"/>
        <v>6.0233653807774477E-2</v>
      </c>
      <c r="U70" s="2">
        <v>43435</v>
      </c>
      <c r="V70" s="3">
        <v>97062691</v>
      </c>
      <c r="W70">
        <f t="shared" si="14"/>
        <v>2.8157698615629768E-2</v>
      </c>
      <c r="Z70" s="2">
        <v>43435</v>
      </c>
      <c r="AA70" s="3">
        <v>84705223</v>
      </c>
      <c r="AB70">
        <f t="shared" si="15"/>
        <v>5.3982704230647029E-2</v>
      </c>
      <c r="AE70" s="2">
        <v>43435</v>
      </c>
      <c r="AF70" s="3">
        <v>35432789</v>
      </c>
      <c r="AG70">
        <f t="shared" si="16"/>
        <v>-2.7491428913484627E-2</v>
      </c>
      <c r="AJ70" s="2">
        <v>43435</v>
      </c>
      <c r="AK70" s="3">
        <v>40326649</v>
      </c>
      <c r="AL70">
        <f t="shared" si="17"/>
        <v>-1.6472853968104318E-2</v>
      </c>
      <c r="AO70" s="2">
        <v>43435</v>
      </c>
      <c r="AP70" s="3">
        <v>1485546265</v>
      </c>
      <c r="AQ70">
        <f t="shared" si="18"/>
        <v>-2.8976888848359091E-2</v>
      </c>
      <c r="AT70" s="2">
        <v>43435</v>
      </c>
      <c r="AU70" s="3">
        <v>42459999</v>
      </c>
      <c r="AV70">
        <f t="shared" si="19"/>
        <v>0.19147435684112946</v>
      </c>
    </row>
    <row r="71" spans="1:48" x14ac:dyDescent="0.3">
      <c r="A71" s="2">
        <v>43466</v>
      </c>
      <c r="B71" s="3">
        <v>40099735</v>
      </c>
      <c r="C71">
        <f t="shared" si="10"/>
        <v>4.0314879886363342E-2</v>
      </c>
      <c r="F71" s="2">
        <v>43466</v>
      </c>
      <c r="G71" s="3">
        <v>30950033</v>
      </c>
      <c r="H71">
        <f t="shared" si="11"/>
        <v>8.5578357864755747E-2</v>
      </c>
      <c r="K71" s="2">
        <v>43466</v>
      </c>
      <c r="L71" s="3">
        <v>180103928</v>
      </c>
      <c r="M71">
        <f t="shared" si="12"/>
        <v>-6.615952318374755E-3</v>
      </c>
      <c r="P71" s="2">
        <v>43466</v>
      </c>
      <c r="Q71" s="3">
        <v>90206558</v>
      </c>
      <c r="R71">
        <f t="shared" si="13"/>
        <v>1.6497237373806015E-2</v>
      </c>
      <c r="U71" s="2">
        <v>43466</v>
      </c>
      <c r="V71" s="3">
        <v>99795753</v>
      </c>
      <c r="W71">
        <f t="shared" si="14"/>
        <v>7.2776133068508442E-2</v>
      </c>
      <c r="Z71" s="2">
        <v>43466</v>
      </c>
      <c r="AA71" s="3">
        <v>89277840</v>
      </c>
      <c r="AB71">
        <f t="shared" si="15"/>
        <v>6.2192857712507384E-2</v>
      </c>
      <c r="AE71" s="2">
        <v>43466</v>
      </c>
      <c r="AF71" s="3">
        <v>34458691</v>
      </c>
      <c r="AG71">
        <f t="shared" si="16"/>
        <v>3.0120093650684524E-2</v>
      </c>
      <c r="AJ71" s="2">
        <v>43466</v>
      </c>
      <c r="AK71" s="3">
        <v>39662354</v>
      </c>
      <c r="AL71">
        <f t="shared" si="17"/>
        <v>6.5517215644840449E-2</v>
      </c>
      <c r="AO71" s="2">
        <v>43466</v>
      </c>
      <c r="AP71" s="3">
        <v>1442499756</v>
      </c>
      <c r="AQ71">
        <f t="shared" si="18"/>
        <v>0.12911080797437582</v>
      </c>
      <c r="AT71" s="2">
        <v>43466</v>
      </c>
      <c r="AU71" s="3">
        <v>50590000</v>
      </c>
      <c r="AV71">
        <f t="shared" si="19"/>
        <v>3.8742814785530738E-2</v>
      </c>
    </row>
    <row r="72" spans="1:48" x14ac:dyDescent="0.3">
      <c r="A72" s="2">
        <v>43497</v>
      </c>
      <c r="B72" s="3">
        <v>41716351</v>
      </c>
      <c r="C72">
        <f t="shared" si="10"/>
        <v>0.10173073383144178</v>
      </c>
      <c r="F72" s="2">
        <v>43497</v>
      </c>
      <c r="G72" s="3">
        <v>33598686</v>
      </c>
      <c r="H72">
        <f t="shared" si="11"/>
        <v>-0.10510940814768768</v>
      </c>
      <c r="K72" s="2">
        <v>43497</v>
      </c>
      <c r="L72" s="3">
        <v>178912369</v>
      </c>
      <c r="M72">
        <f t="shared" si="12"/>
        <v>-2.0003412955758245E-2</v>
      </c>
      <c r="P72" s="2">
        <v>43497</v>
      </c>
      <c r="Q72" s="3">
        <v>91694717</v>
      </c>
      <c r="R72">
        <f t="shared" si="13"/>
        <v>-2.9992065955119312E-2</v>
      </c>
      <c r="U72" s="2">
        <v>43497</v>
      </c>
      <c r="V72" s="3">
        <v>107058502</v>
      </c>
      <c r="W72">
        <f t="shared" si="14"/>
        <v>5.7249764245720529E-2</v>
      </c>
      <c r="Z72" s="2">
        <v>43497</v>
      </c>
      <c r="AA72" s="3">
        <v>94830284</v>
      </c>
      <c r="AB72">
        <f t="shared" si="15"/>
        <v>3.0872205338961126E-2</v>
      </c>
      <c r="AE72" s="2">
        <v>43497</v>
      </c>
      <c r="AF72" s="3">
        <v>35496590</v>
      </c>
      <c r="AG72">
        <f t="shared" si="16"/>
        <v>-2.0300006282293594E-2</v>
      </c>
      <c r="AJ72" s="2">
        <v>43497</v>
      </c>
      <c r="AK72" s="3">
        <v>42260921</v>
      </c>
      <c r="AL72">
        <f t="shared" si="17"/>
        <v>-4.5307412964331752E-2</v>
      </c>
      <c r="AO72" s="2">
        <v>43497</v>
      </c>
      <c r="AP72" s="3">
        <v>1628742065</v>
      </c>
      <c r="AQ72">
        <f t="shared" si="18"/>
        <v>-5.6095057015673015E-2</v>
      </c>
      <c r="AT72" s="2">
        <v>43497</v>
      </c>
      <c r="AU72" s="3">
        <v>52549999</v>
      </c>
      <c r="AV72">
        <f t="shared" si="19"/>
        <v>5.5185728928367822E-3</v>
      </c>
    </row>
    <row r="73" spans="1:48" x14ac:dyDescent="0.3">
      <c r="A73" s="2">
        <v>43525</v>
      </c>
      <c r="B73" s="3">
        <v>45960186</v>
      </c>
      <c r="C73">
        <f t="shared" si="10"/>
        <v>5.6435955241782527E-2</v>
      </c>
      <c r="F73" s="2">
        <v>43525</v>
      </c>
      <c r="G73" s="3">
        <v>30067148</v>
      </c>
      <c r="H73">
        <f t="shared" si="11"/>
        <v>5.5791224362217527E-2</v>
      </c>
      <c r="K73" s="2">
        <v>43525</v>
      </c>
      <c r="L73" s="3">
        <v>175333511</v>
      </c>
      <c r="M73">
        <f t="shared" si="12"/>
        <v>7.2555816212452398E-2</v>
      </c>
      <c r="P73" s="2">
        <v>43525</v>
      </c>
      <c r="Q73" s="3">
        <v>88944603</v>
      </c>
      <c r="R73">
        <f t="shared" si="13"/>
        <v>0.14639916937961936</v>
      </c>
      <c r="U73" s="2">
        <v>43525</v>
      </c>
      <c r="V73" s="3">
        <v>113187576</v>
      </c>
      <c r="W73">
        <f t="shared" si="14"/>
        <v>0.1073427352132711</v>
      </c>
      <c r="Z73" s="2">
        <v>43525</v>
      </c>
      <c r="AA73" s="3">
        <v>97757904</v>
      </c>
      <c r="AB73">
        <f t="shared" si="15"/>
        <v>3.7694281988697301E-2</v>
      </c>
      <c r="AE73" s="2">
        <v>43525</v>
      </c>
      <c r="AF73" s="3">
        <v>34776009</v>
      </c>
      <c r="AG73">
        <f t="shared" si="16"/>
        <v>-4.3795422298171134E-2</v>
      </c>
      <c r="AJ73" s="2">
        <v>43525</v>
      </c>
      <c r="AK73" s="3">
        <v>40346188</v>
      </c>
      <c r="AL73">
        <f t="shared" si="17"/>
        <v>6.1016991245864419E-2</v>
      </c>
      <c r="AO73" s="2">
        <v>43525</v>
      </c>
      <c r="AP73" s="3">
        <v>1537377686</v>
      </c>
      <c r="AQ73">
        <f t="shared" si="18"/>
        <v>8.8228245560733345E-2</v>
      </c>
      <c r="AT73" s="2">
        <v>43525</v>
      </c>
      <c r="AU73" s="3">
        <v>52840000</v>
      </c>
      <c r="AV73">
        <f t="shared" si="19"/>
        <v>0.16445872445117335</v>
      </c>
    </row>
    <row r="74" spans="1:48" x14ac:dyDescent="0.3">
      <c r="A74" s="2">
        <v>43556</v>
      </c>
      <c r="B74" s="3">
        <v>48553993</v>
      </c>
      <c r="C74">
        <f t="shared" si="10"/>
        <v>-0.12757278273694195</v>
      </c>
      <c r="F74" s="2">
        <v>43556</v>
      </c>
      <c r="G74" s="3">
        <v>31744631</v>
      </c>
      <c r="H74">
        <f t="shared" si="11"/>
        <v>-0.1297899162853712</v>
      </c>
      <c r="K74" s="2">
        <v>43556</v>
      </c>
      <c r="L74" s="3">
        <v>188054977</v>
      </c>
      <c r="M74">
        <f t="shared" si="12"/>
        <v>-0.11378195005176597</v>
      </c>
      <c r="P74" s="2">
        <v>43556</v>
      </c>
      <c r="Q74" s="3">
        <v>101966019</v>
      </c>
      <c r="R74">
        <f t="shared" si="13"/>
        <v>-7.9958687021016286E-2</v>
      </c>
      <c r="U74" s="2">
        <v>43556</v>
      </c>
      <c r="V74" s="3">
        <v>125337440</v>
      </c>
      <c r="W74">
        <f t="shared" si="14"/>
        <v>-5.2986170772276825E-2</v>
      </c>
      <c r="Z74" s="2">
        <v>43556</v>
      </c>
      <c r="AA74" s="3">
        <v>101442818</v>
      </c>
      <c r="AB74">
        <f t="shared" si="15"/>
        <v>4.4643722338233938E-2</v>
      </c>
      <c r="AE74" s="2">
        <v>43556</v>
      </c>
      <c r="AF74" s="3">
        <v>33252979</v>
      </c>
      <c r="AG74">
        <f t="shared" si="16"/>
        <v>2.2408127704889237E-2</v>
      </c>
      <c r="AJ74" s="2">
        <v>43556</v>
      </c>
      <c r="AK74" s="3">
        <v>42807991</v>
      </c>
      <c r="AL74">
        <f t="shared" si="17"/>
        <v>-5.933331466080714E-3</v>
      </c>
      <c r="AO74" s="2">
        <v>43556</v>
      </c>
      <c r="AP74" s="3">
        <v>1673017822</v>
      </c>
      <c r="AQ74">
        <f t="shared" si="18"/>
        <v>-5.1003760317384114E-2</v>
      </c>
      <c r="AT74" s="2">
        <v>43556</v>
      </c>
      <c r="AU74" s="3">
        <v>61529999</v>
      </c>
      <c r="AV74">
        <f t="shared" si="19"/>
        <v>-5.6720267458479884E-2</v>
      </c>
    </row>
    <row r="75" spans="1:48" x14ac:dyDescent="0.3">
      <c r="A75" s="2">
        <v>43586</v>
      </c>
      <c r="B75" s="3">
        <v>42359825</v>
      </c>
      <c r="C75">
        <f t="shared" si="10"/>
        <v>0.13487279515437092</v>
      </c>
      <c r="F75" s="2">
        <v>43586</v>
      </c>
      <c r="G75" s="3">
        <v>27624498</v>
      </c>
      <c r="H75">
        <f t="shared" si="11"/>
        <v>6.3668016700249172E-2</v>
      </c>
      <c r="K75" s="2">
        <v>43586</v>
      </c>
      <c r="L75" s="3">
        <v>166657715</v>
      </c>
      <c r="M75">
        <f t="shared" si="12"/>
        <v>0.12621048476513674</v>
      </c>
      <c r="P75" s="2">
        <v>43586</v>
      </c>
      <c r="Q75" s="3">
        <v>93812950</v>
      </c>
      <c r="R75">
        <f t="shared" si="13"/>
        <v>5.5115088055540308E-2</v>
      </c>
      <c r="U75" s="2">
        <v>43586</v>
      </c>
      <c r="V75" s="3">
        <v>118696289</v>
      </c>
      <c r="W75">
        <f t="shared" si="14"/>
        <v>8.7127197380197793E-2</v>
      </c>
      <c r="Z75" s="2">
        <v>43586</v>
      </c>
      <c r="AA75" s="3">
        <v>105971603</v>
      </c>
      <c r="AB75">
        <f t="shared" si="15"/>
        <v>3.1218278353305651E-2</v>
      </c>
      <c r="AE75" s="2">
        <v>43586</v>
      </c>
      <c r="AF75" s="3">
        <v>33998116</v>
      </c>
      <c r="AG75">
        <f t="shared" si="16"/>
        <v>5.2606562081263561E-2</v>
      </c>
      <c r="AJ75" s="2">
        <v>43586</v>
      </c>
      <c r="AK75" s="3">
        <v>42553997</v>
      </c>
      <c r="AL75">
        <f t="shared" si="17"/>
        <v>-3.5108241418544066E-2</v>
      </c>
      <c r="AO75" s="2">
        <v>43586</v>
      </c>
      <c r="AP75" s="3">
        <v>1587687622</v>
      </c>
      <c r="AQ75">
        <f t="shared" si="18"/>
        <v>-1.8867956507882883E-2</v>
      </c>
      <c r="AT75" s="2">
        <v>43586</v>
      </c>
      <c r="AU75" s="3">
        <v>58040001</v>
      </c>
      <c r="AV75">
        <f t="shared" si="19"/>
        <v>0.13163333680852279</v>
      </c>
    </row>
    <row r="76" spans="1:48" x14ac:dyDescent="0.3">
      <c r="A76" s="2">
        <v>43617</v>
      </c>
      <c r="B76" s="3">
        <v>48073013</v>
      </c>
      <c r="C76">
        <f t="shared" si="10"/>
        <v>7.6394545937863309E-2</v>
      </c>
      <c r="F76" s="2">
        <v>43617</v>
      </c>
      <c r="G76" s="3">
        <v>29383295</v>
      </c>
      <c r="H76">
        <f t="shared" si="11"/>
        <v>-3.4389778273675571E-2</v>
      </c>
      <c r="K76" s="2">
        <v>43617</v>
      </c>
      <c r="L76" s="3">
        <v>187691666</v>
      </c>
      <c r="M76">
        <f t="shared" si="12"/>
        <v>7.590417999699571E-2</v>
      </c>
      <c r="P76" s="2">
        <v>43617</v>
      </c>
      <c r="Q76" s="3">
        <v>98983459</v>
      </c>
      <c r="R76">
        <f t="shared" si="13"/>
        <v>3.7567175743979608E-2</v>
      </c>
      <c r="U76" s="2">
        <v>43617</v>
      </c>
      <c r="V76" s="3">
        <v>129037964</v>
      </c>
      <c r="W76">
        <f t="shared" si="14"/>
        <v>1.7243622969748653E-2</v>
      </c>
      <c r="Z76" s="2">
        <v>43617</v>
      </c>
      <c r="AA76" s="3">
        <v>109279854</v>
      </c>
      <c r="AB76">
        <f t="shared" si="15"/>
        <v>-1.0517034548746744E-2</v>
      </c>
      <c r="AE76" s="2">
        <v>43617</v>
      </c>
      <c r="AF76" s="3">
        <v>35786640</v>
      </c>
      <c r="AG76">
        <f t="shared" si="16"/>
        <v>-0.10341655433424317</v>
      </c>
      <c r="AJ76" s="2">
        <v>43617</v>
      </c>
      <c r="AK76" s="3">
        <v>41060001</v>
      </c>
      <c r="AL76">
        <f t="shared" si="17"/>
        <v>9.5957109207084529E-2</v>
      </c>
      <c r="AO76" s="2">
        <v>43617</v>
      </c>
      <c r="AP76" s="3">
        <v>1557731201</v>
      </c>
      <c r="AQ76">
        <f t="shared" si="18"/>
        <v>6.410189379008272E-3</v>
      </c>
      <c r="AT76" s="2">
        <v>43617</v>
      </c>
      <c r="AU76" s="3">
        <v>65680000</v>
      </c>
      <c r="AV76">
        <f t="shared" si="19"/>
        <v>-1.81181790499391E-2</v>
      </c>
    </row>
    <row r="77" spans="1:48" x14ac:dyDescent="0.3">
      <c r="A77" s="2">
        <v>43647</v>
      </c>
      <c r="B77" s="3">
        <v>51745529</v>
      </c>
      <c r="C77">
        <f t="shared" si="10"/>
        <v>-2.0183966038882315E-2</v>
      </c>
      <c r="F77" s="2">
        <v>43647</v>
      </c>
      <c r="G77" s="3">
        <v>28372810</v>
      </c>
      <c r="H77">
        <f t="shared" si="11"/>
        <v>-1.3966434766242751E-2</v>
      </c>
      <c r="K77" s="2">
        <v>43647</v>
      </c>
      <c r="L77" s="3">
        <v>201938248</v>
      </c>
      <c r="M77">
        <f t="shared" si="12"/>
        <v>-7.3683728304902399E-2</v>
      </c>
      <c r="P77" s="2">
        <v>43647</v>
      </c>
      <c r="Q77" s="3">
        <v>102701988</v>
      </c>
      <c r="R77">
        <f t="shared" si="13"/>
        <v>-4.6226106158724016E-2</v>
      </c>
      <c r="U77" s="2">
        <v>43647</v>
      </c>
      <c r="V77" s="3">
        <v>131263046</v>
      </c>
      <c r="W77">
        <f t="shared" si="14"/>
        <v>1.1668181157399014E-2</v>
      </c>
      <c r="Z77" s="2">
        <v>43647</v>
      </c>
      <c r="AA77" s="3">
        <v>108130554</v>
      </c>
      <c r="AB77">
        <f t="shared" si="15"/>
        <v>0.10925225630491082</v>
      </c>
      <c r="AE77" s="2">
        <v>43647</v>
      </c>
      <c r="AF77" s="3">
        <v>32085709</v>
      </c>
      <c r="AG77">
        <f t="shared" si="16"/>
        <v>-8.4706403090547264E-2</v>
      </c>
      <c r="AJ77" s="2">
        <v>43647</v>
      </c>
      <c r="AK77" s="3">
        <v>45000000</v>
      </c>
      <c r="AL77">
        <f t="shared" si="17"/>
        <v>3.3333333333333333E-2</v>
      </c>
      <c r="AO77" s="2">
        <v>43647</v>
      </c>
      <c r="AP77" s="3">
        <v>1567716553</v>
      </c>
      <c r="AQ77">
        <f t="shared" si="18"/>
        <v>8.453970888192823E-2</v>
      </c>
      <c r="AT77" s="2">
        <v>43647</v>
      </c>
      <c r="AU77" s="3">
        <v>64489998</v>
      </c>
      <c r="AV77">
        <f t="shared" si="19"/>
        <v>-3.752516785626199E-2</v>
      </c>
    </row>
    <row r="78" spans="1:48" x14ac:dyDescent="0.3">
      <c r="A78" s="2">
        <v>43678</v>
      </c>
      <c r="B78" s="3">
        <v>50701099</v>
      </c>
      <c r="C78">
        <f t="shared" si="10"/>
        <v>7.7038211735804774E-2</v>
      </c>
      <c r="F78" s="2">
        <v>43678</v>
      </c>
      <c r="G78" s="3">
        <v>27976543</v>
      </c>
      <c r="H78">
        <f t="shared" si="11"/>
        <v>1.2039693395999642E-2</v>
      </c>
      <c r="K78" s="2">
        <v>43678</v>
      </c>
      <c r="L78" s="3">
        <v>187058685</v>
      </c>
      <c r="M78">
        <f t="shared" si="12"/>
        <v>2.2659862064143131E-2</v>
      </c>
      <c r="P78" s="2">
        <v>43678</v>
      </c>
      <c r="Q78" s="3">
        <v>97954475</v>
      </c>
      <c r="R78">
        <f t="shared" si="13"/>
        <v>7.1272506947742814E-2</v>
      </c>
      <c r="U78" s="2">
        <v>43678</v>
      </c>
      <c r="V78" s="3">
        <v>132794647</v>
      </c>
      <c r="W78">
        <f t="shared" si="14"/>
        <v>1.1845116015858682E-2</v>
      </c>
      <c r="Z78" s="2">
        <v>43678</v>
      </c>
      <c r="AA78" s="3">
        <v>119944061</v>
      </c>
      <c r="AB78">
        <f t="shared" si="15"/>
        <v>-2.0133310310378769E-2</v>
      </c>
      <c r="AE78" s="2">
        <v>43678</v>
      </c>
      <c r="AF78" s="3">
        <v>29367844</v>
      </c>
      <c r="AG78">
        <f t="shared" si="16"/>
        <v>2.0144618038695657E-2</v>
      </c>
      <c r="AJ78" s="2">
        <v>43678</v>
      </c>
      <c r="AK78" s="3">
        <v>46500000</v>
      </c>
      <c r="AL78">
        <f t="shared" si="17"/>
        <v>-3.0107569892473117E-2</v>
      </c>
      <c r="AO78" s="2">
        <v>43678</v>
      </c>
      <c r="AP78" s="3">
        <v>1700250854</v>
      </c>
      <c r="AQ78">
        <f t="shared" si="18"/>
        <v>-0.12066205437706547</v>
      </c>
      <c r="AT78" s="2">
        <v>43678</v>
      </c>
      <c r="AU78" s="3">
        <v>62070000</v>
      </c>
      <c r="AV78">
        <f t="shared" si="19"/>
        <v>-6.5410053165780566E-2</v>
      </c>
    </row>
    <row r="79" spans="1:48" x14ac:dyDescent="0.3">
      <c r="A79" s="2">
        <v>43709</v>
      </c>
      <c r="B79" s="3">
        <v>54607021</v>
      </c>
      <c r="C79">
        <f t="shared" si="10"/>
        <v>0.11068444843383785</v>
      </c>
      <c r="F79" s="2">
        <v>43709</v>
      </c>
      <c r="G79" s="3">
        <v>28313372</v>
      </c>
      <c r="H79">
        <f t="shared" si="11"/>
        <v>-1.7494807753735585E-2</v>
      </c>
      <c r="K79" s="2">
        <v>43709</v>
      </c>
      <c r="L79" s="3">
        <v>191297409</v>
      </c>
      <c r="M79">
        <f t="shared" si="12"/>
        <v>2.9677349158450966E-2</v>
      </c>
      <c r="P79" s="2">
        <v>43709</v>
      </c>
      <c r="Q79" s="3">
        <v>104935936</v>
      </c>
      <c r="R79">
        <f t="shared" si="13"/>
        <v>6.1432453416149072E-2</v>
      </c>
      <c r="U79" s="2">
        <v>43709</v>
      </c>
      <c r="V79" s="3">
        <v>134367615</v>
      </c>
      <c r="W79">
        <f t="shared" si="14"/>
        <v>3.121616767552211E-2</v>
      </c>
      <c r="Z79" s="2">
        <v>43709</v>
      </c>
      <c r="AA79" s="3">
        <v>117529190</v>
      </c>
      <c r="AB79">
        <f t="shared" si="15"/>
        <v>-7.7276632298750635E-3</v>
      </c>
      <c r="AE79" s="2">
        <v>43709</v>
      </c>
      <c r="AF79" s="3">
        <v>29959448</v>
      </c>
      <c r="AG79">
        <f t="shared" si="16"/>
        <v>6.7909729177920763E-2</v>
      </c>
      <c r="AJ79" s="2">
        <v>43709</v>
      </c>
      <c r="AK79" s="3">
        <v>45099998</v>
      </c>
      <c r="AL79">
        <f t="shared" si="17"/>
        <v>-5.7649625616391378E-2</v>
      </c>
      <c r="AO79" s="2">
        <v>43709</v>
      </c>
      <c r="AP79" s="3">
        <v>1495095093</v>
      </c>
      <c r="AQ79">
        <f t="shared" si="18"/>
        <v>8.8038939874976907E-2</v>
      </c>
      <c r="AT79" s="2">
        <v>43709</v>
      </c>
      <c r="AU79" s="3">
        <v>58009998</v>
      </c>
      <c r="AV79">
        <f t="shared" si="19"/>
        <v>-0.10722284458620392</v>
      </c>
    </row>
    <row r="80" spans="1:48" x14ac:dyDescent="0.3">
      <c r="A80" s="2">
        <v>43739</v>
      </c>
      <c r="B80" s="3">
        <v>60651169</v>
      </c>
      <c r="C80">
        <f t="shared" si="10"/>
        <v>7.4328608571419291E-2</v>
      </c>
      <c r="F80" s="2">
        <v>43739</v>
      </c>
      <c r="G80" s="3">
        <v>27818035</v>
      </c>
      <c r="H80">
        <f t="shared" si="11"/>
        <v>0.1972934464997258</v>
      </c>
      <c r="K80" s="2">
        <v>43739</v>
      </c>
      <c r="L80" s="3">
        <v>196974609</v>
      </c>
      <c r="M80">
        <f t="shared" si="12"/>
        <v>3.7351128845241166E-2</v>
      </c>
      <c r="P80" s="2">
        <v>43739</v>
      </c>
      <c r="Q80" s="3">
        <v>111382408</v>
      </c>
      <c r="R80">
        <f t="shared" si="13"/>
        <v>6.3204514307142648E-2</v>
      </c>
      <c r="U80" s="2">
        <v>43739</v>
      </c>
      <c r="V80" s="3">
        <v>138562057</v>
      </c>
      <c r="W80">
        <f t="shared" si="14"/>
        <v>5.5869623817723778E-2</v>
      </c>
      <c r="Z80" s="2">
        <v>43739</v>
      </c>
      <c r="AA80" s="3">
        <v>116620964</v>
      </c>
      <c r="AB80">
        <f t="shared" si="15"/>
        <v>-1.8171372687332613E-2</v>
      </c>
      <c r="AE80" s="2">
        <v>43739</v>
      </c>
      <c r="AF80" s="3">
        <v>31993986</v>
      </c>
      <c r="AG80">
        <f t="shared" si="16"/>
        <v>3.909328459417342E-3</v>
      </c>
      <c r="AJ80" s="2">
        <v>43739</v>
      </c>
      <c r="AK80" s="3">
        <v>42500000</v>
      </c>
      <c r="AL80">
        <f t="shared" si="17"/>
        <v>-6.0235317647058827E-2</v>
      </c>
      <c r="AO80" s="2">
        <v>43739</v>
      </c>
      <c r="AP80" s="3">
        <v>1626721680</v>
      </c>
      <c r="AQ80">
        <f t="shared" si="18"/>
        <v>6.0825804571560144E-2</v>
      </c>
      <c r="AT80" s="2">
        <v>43739</v>
      </c>
      <c r="AU80" s="3">
        <v>51790001</v>
      </c>
      <c r="AV80">
        <f t="shared" si="19"/>
        <v>6.6615194697524721E-2</v>
      </c>
    </row>
    <row r="81" spans="1:48" x14ac:dyDescent="0.3">
      <c r="A81" s="2">
        <v>43770</v>
      </c>
      <c r="B81" s="3">
        <v>65159286</v>
      </c>
      <c r="C81">
        <f t="shared" si="10"/>
        <v>0.10208268703251291</v>
      </c>
      <c r="F81" s="2">
        <v>43770</v>
      </c>
      <c r="G81" s="3">
        <v>33306351</v>
      </c>
      <c r="H81">
        <f t="shared" si="11"/>
        <v>-6.1273028678524404E-2</v>
      </c>
      <c r="K81" s="2">
        <v>43770</v>
      </c>
      <c r="L81" s="3">
        <v>204331833</v>
      </c>
      <c r="M81">
        <f t="shared" si="12"/>
        <v>4.4618994828867414E-2</v>
      </c>
      <c r="P81" s="2">
        <v>43770</v>
      </c>
      <c r="Q81" s="3">
        <v>118422279</v>
      </c>
      <c r="R81">
        <f t="shared" si="13"/>
        <v>5.7984215959903961E-2</v>
      </c>
      <c r="U81" s="2">
        <v>43770</v>
      </c>
      <c r="V81" s="3">
        <v>146303467</v>
      </c>
      <c r="W81">
        <f t="shared" si="14"/>
        <v>4.5293854861279535E-2</v>
      </c>
      <c r="Z81" s="2">
        <v>43770</v>
      </c>
      <c r="AA81" s="3">
        <v>114501801</v>
      </c>
      <c r="AB81">
        <f t="shared" si="15"/>
        <v>1.9351363739684758E-2</v>
      </c>
      <c r="AE81" s="2">
        <v>43770</v>
      </c>
      <c r="AF81" s="3">
        <v>32119061</v>
      </c>
      <c r="AG81">
        <f t="shared" si="16"/>
        <v>2.6964206705793796E-2</v>
      </c>
      <c r="AJ81" s="2">
        <v>43770</v>
      </c>
      <c r="AK81" s="3">
        <v>39939999</v>
      </c>
      <c r="AL81">
        <f t="shared" si="17"/>
        <v>3.2048122985681597E-2</v>
      </c>
      <c r="AO81" s="2">
        <v>43770</v>
      </c>
      <c r="AP81" s="3">
        <v>1725668335</v>
      </c>
      <c r="AQ81">
        <f t="shared" si="18"/>
        <v>1.5781221366619098E-2</v>
      </c>
      <c r="AT81" s="2">
        <v>43770</v>
      </c>
      <c r="AU81" s="3">
        <v>55240002</v>
      </c>
      <c r="AV81">
        <f t="shared" si="19"/>
        <v>1.3033978528820473E-2</v>
      </c>
    </row>
    <row r="82" spans="1:48" x14ac:dyDescent="0.3">
      <c r="A82" s="2">
        <v>43800</v>
      </c>
      <c r="B82" s="3">
        <v>71810921</v>
      </c>
      <c r="C82">
        <f t="shared" si="10"/>
        <v>5.4010016108831133E-2</v>
      </c>
      <c r="F82" s="2">
        <v>43800</v>
      </c>
      <c r="G82" s="3">
        <v>31265570</v>
      </c>
      <c r="H82">
        <f t="shared" si="11"/>
        <v>3.9924012260131515E-2</v>
      </c>
      <c r="K82" s="2">
        <v>43800</v>
      </c>
      <c r="L82" s="3">
        <v>213448914</v>
      </c>
      <c r="M82">
        <f t="shared" si="12"/>
        <v>3.401036277935806E-2</v>
      </c>
      <c r="P82" s="2">
        <v>43800</v>
      </c>
      <c r="Q82" s="3">
        <v>125288902</v>
      </c>
      <c r="R82">
        <f t="shared" si="13"/>
        <v>-5.0502294289401624E-2</v>
      </c>
      <c r="U82" s="2">
        <v>43800</v>
      </c>
      <c r="V82" s="3">
        <v>152930115</v>
      </c>
      <c r="W82">
        <f t="shared" si="14"/>
        <v>7.9454599246198174E-2</v>
      </c>
      <c r="Z82" s="2">
        <v>43800</v>
      </c>
      <c r="AA82" s="3">
        <v>116717567</v>
      </c>
      <c r="AB82">
        <f t="shared" si="15"/>
        <v>0.10866904893588127</v>
      </c>
      <c r="AE82" s="2">
        <v>43800</v>
      </c>
      <c r="AF82" s="3">
        <v>32985126</v>
      </c>
      <c r="AG82">
        <f t="shared" si="16"/>
        <v>-4.9515287587502316E-2</v>
      </c>
      <c r="AJ82" s="2">
        <v>43800</v>
      </c>
      <c r="AK82" s="3">
        <v>41220001</v>
      </c>
      <c r="AL82">
        <f t="shared" si="17"/>
        <v>-0.11402234075637213</v>
      </c>
      <c r="AO82" s="2">
        <v>43800</v>
      </c>
      <c r="AP82" s="3">
        <v>1752901489</v>
      </c>
      <c r="AQ82">
        <f t="shared" si="18"/>
        <v>-2.330392623678124E-2</v>
      </c>
      <c r="AT82" s="2">
        <v>43800</v>
      </c>
      <c r="AU82" s="3">
        <v>55959999</v>
      </c>
      <c r="AV82">
        <f t="shared" si="19"/>
        <v>-0.11400995557558892</v>
      </c>
    </row>
    <row r="83" spans="1:48" x14ac:dyDescent="0.3">
      <c r="A83" s="2">
        <v>43831</v>
      </c>
      <c r="B83" s="3">
        <v>75689430</v>
      </c>
      <c r="C83">
        <f t="shared" si="10"/>
        <v>-0.11679733880939518</v>
      </c>
      <c r="F83" s="2">
        <v>43831</v>
      </c>
      <c r="G83" s="3">
        <v>32513817</v>
      </c>
      <c r="H83">
        <f t="shared" si="11"/>
        <v>-8.5923286090956341E-2</v>
      </c>
      <c r="K83" s="2">
        <v>43831</v>
      </c>
      <c r="L83" s="3">
        <v>220708389</v>
      </c>
      <c r="M83">
        <f t="shared" si="12"/>
        <v>-0.15554150503993755</v>
      </c>
      <c r="P83" s="2">
        <v>43831</v>
      </c>
      <c r="Q83" s="3">
        <v>118961525</v>
      </c>
      <c r="R83">
        <f t="shared" si="13"/>
        <v>-0.11713946168729764</v>
      </c>
      <c r="U83" s="2">
        <v>43831</v>
      </c>
      <c r="V83" s="3">
        <v>165081116</v>
      </c>
      <c r="W83">
        <f t="shared" si="14"/>
        <v>-4.8287533990259673E-2</v>
      </c>
      <c r="Z83" s="2">
        <v>43831</v>
      </c>
      <c r="AA83" s="3">
        <v>129401154</v>
      </c>
      <c r="AB83">
        <f t="shared" si="15"/>
        <v>-9.2070407656488135E-2</v>
      </c>
      <c r="AE83" s="2">
        <v>43831</v>
      </c>
      <c r="AF83" s="3">
        <v>31351858</v>
      </c>
      <c r="AG83">
        <f t="shared" si="16"/>
        <v>-9.3410540453455745E-2</v>
      </c>
      <c r="AJ83" s="2">
        <v>43831</v>
      </c>
      <c r="AK83" s="3">
        <v>36520000</v>
      </c>
      <c r="AL83">
        <f t="shared" si="17"/>
        <v>-0.14950714676889376</v>
      </c>
      <c r="AO83" s="2">
        <v>43831</v>
      </c>
      <c r="AP83" s="3">
        <v>1712052002</v>
      </c>
      <c r="AQ83">
        <f t="shared" si="18"/>
        <v>-0.11187703806674443</v>
      </c>
      <c r="AT83" s="2">
        <v>43831</v>
      </c>
      <c r="AU83" s="3">
        <v>49580002</v>
      </c>
      <c r="AV83">
        <f t="shared" si="19"/>
        <v>-7.6845539457622444E-2</v>
      </c>
    </row>
    <row r="84" spans="1:48" x14ac:dyDescent="0.3">
      <c r="A84" s="2">
        <v>43862</v>
      </c>
      <c r="B84" s="3">
        <v>66849106</v>
      </c>
      <c r="C84">
        <f t="shared" si="10"/>
        <v>-6.7553977460820494E-2</v>
      </c>
      <c r="F84" s="2">
        <v>43862</v>
      </c>
      <c r="G84" s="3">
        <v>29720123</v>
      </c>
      <c r="H84">
        <f t="shared" si="11"/>
        <v>-7.7333293674457543E-2</v>
      </c>
      <c r="K84" s="2">
        <v>43862</v>
      </c>
      <c r="L84" s="3">
        <v>186379074</v>
      </c>
      <c r="M84">
        <f t="shared" si="12"/>
        <v>-0.2253065813600941</v>
      </c>
      <c r="P84" s="2">
        <v>43862</v>
      </c>
      <c r="Q84" s="3">
        <v>105026436</v>
      </c>
      <c r="R84">
        <f t="shared" si="13"/>
        <v>-0.22461451514930963</v>
      </c>
      <c r="U84" s="2">
        <v>43862</v>
      </c>
      <c r="V84" s="3">
        <v>157109756</v>
      </c>
      <c r="W84">
        <f t="shared" si="14"/>
        <v>-2.3882552525891519E-2</v>
      </c>
      <c r="Z84" s="2">
        <v>43862</v>
      </c>
      <c r="AA84" s="3">
        <v>117487137</v>
      </c>
      <c r="AB84">
        <f t="shared" si="15"/>
        <v>-2.9563083148413091E-2</v>
      </c>
      <c r="AE84" s="2">
        <v>43862</v>
      </c>
      <c r="AF84" s="3">
        <v>28423264</v>
      </c>
      <c r="AG84">
        <f t="shared" si="16"/>
        <v>-2.3339261810325515E-2</v>
      </c>
      <c r="AJ84" s="2">
        <v>43862</v>
      </c>
      <c r="AK84" s="3">
        <v>31059999</v>
      </c>
      <c r="AL84">
        <f t="shared" si="17"/>
        <v>-1.8029588474874066E-2</v>
      </c>
      <c r="AO84" s="2">
        <v>43862</v>
      </c>
      <c r="AP84" s="3">
        <v>1520512695</v>
      </c>
      <c r="AQ84">
        <f t="shared" si="18"/>
        <v>-2.507474296358966E-2</v>
      </c>
      <c r="AT84" s="2">
        <v>43862</v>
      </c>
      <c r="AU84" s="3">
        <v>45770000</v>
      </c>
      <c r="AV84">
        <f t="shared" si="19"/>
        <v>-0.21214767314835045</v>
      </c>
    </row>
    <row r="85" spans="1:48" x14ac:dyDescent="0.3">
      <c r="A85" s="2">
        <v>43891</v>
      </c>
      <c r="B85" s="3">
        <v>62333183</v>
      </c>
      <c r="C85">
        <f t="shared" si="10"/>
        <v>0.15537380788014626</v>
      </c>
      <c r="F85" s="2">
        <v>43891</v>
      </c>
      <c r="G85" s="3">
        <v>27421768</v>
      </c>
      <c r="H85">
        <f t="shared" si="11"/>
        <v>6.1416134802103207E-2</v>
      </c>
      <c r="K85" s="2">
        <v>43891</v>
      </c>
      <c r="L85" s="3">
        <v>144386642</v>
      </c>
      <c r="M85">
        <f t="shared" si="12"/>
        <v>0.18649339458978484</v>
      </c>
      <c r="P85" s="2">
        <v>43891</v>
      </c>
      <c r="Q85" s="3">
        <v>81435974</v>
      </c>
      <c r="R85">
        <f t="shared" si="13"/>
        <v>6.3645447403870917E-2</v>
      </c>
      <c r="U85" s="2">
        <v>43891</v>
      </c>
      <c r="V85" s="3">
        <v>153357574</v>
      </c>
      <c r="W85">
        <f t="shared" si="14"/>
        <v>0.13632614584787314</v>
      </c>
      <c r="Z85" s="2">
        <v>43891</v>
      </c>
      <c r="AA85" s="3">
        <v>114013855</v>
      </c>
      <c r="AB85">
        <f t="shared" si="15"/>
        <v>1.7815352353448624E-2</v>
      </c>
      <c r="AE85" s="2">
        <v>43891</v>
      </c>
      <c r="AF85" s="3">
        <v>27759886</v>
      </c>
      <c r="AG85">
        <f t="shared" si="16"/>
        <v>0.17524502802353006</v>
      </c>
      <c r="AJ85" s="2">
        <v>43891</v>
      </c>
      <c r="AK85" s="3">
        <v>30500000</v>
      </c>
      <c r="AL85">
        <f t="shared" si="17"/>
        <v>-8.3934393442622948E-2</v>
      </c>
      <c r="AO85" s="2">
        <v>43891</v>
      </c>
      <c r="AP85" s="3">
        <v>1482386230</v>
      </c>
      <c r="AQ85">
        <f t="shared" si="18"/>
        <v>-0.10857589792911122</v>
      </c>
      <c r="AT85" s="2">
        <v>43891</v>
      </c>
      <c r="AU85" s="3">
        <v>36060001</v>
      </c>
      <c r="AV85">
        <f t="shared" si="19"/>
        <v>0.2204658008744925</v>
      </c>
    </row>
    <row r="86" spans="1:48" x14ac:dyDescent="0.3">
      <c r="A86" s="2">
        <v>43922</v>
      </c>
      <c r="B86" s="3">
        <v>72018127</v>
      </c>
      <c r="C86">
        <f t="shared" si="10"/>
        <v>8.2164855523110175E-2</v>
      </c>
      <c r="F86" s="2">
        <v>43922</v>
      </c>
      <c r="G86" s="3">
        <v>29105907</v>
      </c>
      <c r="H86">
        <f t="shared" si="11"/>
        <v>-4.0843599204793725E-3</v>
      </c>
      <c r="K86" s="2">
        <v>43922</v>
      </c>
      <c r="L86" s="3">
        <v>171313797</v>
      </c>
      <c r="M86">
        <f t="shared" si="12"/>
        <v>7.12571679209235E-2</v>
      </c>
      <c r="P86" s="2">
        <v>43922</v>
      </c>
      <c r="Q86" s="3">
        <v>86619003</v>
      </c>
      <c r="R86">
        <f t="shared" si="13"/>
        <v>2.6745736152146659E-2</v>
      </c>
      <c r="U86" s="2">
        <v>43922</v>
      </c>
      <c r="V86" s="3">
        <v>174264221</v>
      </c>
      <c r="W86">
        <f t="shared" si="14"/>
        <v>2.2543428464297327E-2</v>
      </c>
      <c r="Z86" s="2">
        <v>43922</v>
      </c>
      <c r="AA86" s="3">
        <v>116045052</v>
      </c>
      <c r="AB86">
        <f t="shared" si="15"/>
        <v>4.3635483915333159E-2</v>
      </c>
      <c r="AE86" s="2">
        <v>43922</v>
      </c>
      <c r="AF86" s="3">
        <v>32624668</v>
      </c>
      <c r="AG86">
        <f t="shared" si="16"/>
        <v>-4.4317692367015042E-3</v>
      </c>
      <c r="AJ86" s="2">
        <v>43922</v>
      </c>
      <c r="AK86" s="3">
        <v>27940001</v>
      </c>
      <c r="AL86">
        <f t="shared" si="17"/>
        <v>-0.14960632964902185</v>
      </c>
      <c r="AO86" s="2">
        <v>43922</v>
      </c>
      <c r="AP86" s="3">
        <v>1321434814</v>
      </c>
      <c r="AQ86">
        <f t="shared" si="18"/>
        <v>-8.5872548382851979E-2</v>
      </c>
      <c r="AT86" s="2">
        <v>43922</v>
      </c>
      <c r="AU86" s="3">
        <v>44009998</v>
      </c>
      <c r="AV86">
        <f t="shared" si="19"/>
        <v>5.9304728893648212E-2</v>
      </c>
    </row>
    <row r="87" spans="1:48" x14ac:dyDescent="0.3">
      <c r="A87" s="2">
        <v>43952</v>
      </c>
      <c r="B87" s="3">
        <v>77935486</v>
      </c>
      <c r="C87">
        <f t="shared" si="10"/>
        <v>0.15049211343854327</v>
      </c>
      <c r="F87" s="2">
        <v>43952</v>
      </c>
      <c r="G87" s="3">
        <v>28987028</v>
      </c>
      <c r="H87">
        <f t="shared" si="11"/>
        <v>-9.6377317467661747E-2</v>
      </c>
      <c r="K87" s="2">
        <v>43952</v>
      </c>
      <c r="L87" s="3">
        <v>183521133</v>
      </c>
      <c r="M87">
        <f t="shared" si="12"/>
        <v>1.2037839805620641E-2</v>
      </c>
      <c r="P87" s="2">
        <v>43952</v>
      </c>
      <c r="Q87" s="3">
        <v>88935692</v>
      </c>
      <c r="R87">
        <f t="shared" si="13"/>
        <v>-3.3398278387489246E-2</v>
      </c>
      <c r="U87" s="2">
        <v>43952</v>
      </c>
      <c r="V87" s="3">
        <v>178192734</v>
      </c>
      <c r="W87">
        <f t="shared" si="14"/>
        <v>0.11365212568094948</v>
      </c>
      <c r="Z87" s="2">
        <v>43952</v>
      </c>
      <c r="AA87" s="3">
        <v>121108734</v>
      </c>
      <c r="AB87">
        <f t="shared" si="15"/>
        <v>1.7813702849870432E-2</v>
      </c>
      <c r="AE87" s="2">
        <v>43952</v>
      </c>
      <c r="AF87" s="3">
        <v>32480083</v>
      </c>
      <c r="AG87">
        <f t="shared" si="16"/>
        <v>-0.13522166799881638</v>
      </c>
      <c r="AJ87" s="2">
        <v>43952</v>
      </c>
      <c r="AK87" s="3">
        <v>23760000</v>
      </c>
      <c r="AL87">
        <f t="shared" si="17"/>
        <v>0.11026931818181818</v>
      </c>
      <c r="AO87" s="2">
        <v>43952</v>
      </c>
      <c r="AP87" s="3">
        <v>1207959839</v>
      </c>
      <c r="AQ87">
        <f t="shared" si="18"/>
        <v>0.12878785533862439</v>
      </c>
      <c r="AT87" s="2">
        <v>43952</v>
      </c>
      <c r="AU87" s="3">
        <v>46619999</v>
      </c>
      <c r="AV87">
        <f t="shared" si="19"/>
        <v>6.1776084551181568E-2</v>
      </c>
    </row>
    <row r="88" spans="1:48" x14ac:dyDescent="0.3">
      <c r="A88" s="2">
        <v>43983</v>
      </c>
      <c r="B88" s="3">
        <v>89664162</v>
      </c>
      <c r="C88">
        <f t="shared" si="10"/>
        <v>0.16513170557485388</v>
      </c>
      <c r="F88" s="2">
        <v>43983</v>
      </c>
      <c r="G88" s="3">
        <v>26193336</v>
      </c>
      <c r="H88">
        <f t="shared" si="11"/>
        <v>-6.8078689938540091E-2</v>
      </c>
      <c r="K88" s="2">
        <v>43983</v>
      </c>
      <c r="L88" s="3">
        <v>185730331</v>
      </c>
      <c r="M88">
        <f t="shared" si="12"/>
        <v>1.7205859607281914E-3</v>
      </c>
      <c r="P88" s="2">
        <v>43983</v>
      </c>
      <c r="Q88" s="3">
        <v>85965393</v>
      </c>
      <c r="R88">
        <f t="shared" si="13"/>
        <v>2.7429130696814241E-2</v>
      </c>
      <c r="U88" s="2">
        <v>43983</v>
      </c>
      <c r="V88" s="3">
        <v>198444717</v>
      </c>
      <c r="W88">
        <f t="shared" si="14"/>
        <v>7.370627054788261E-3</v>
      </c>
      <c r="Z88" s="2">
        <v>43983</v>
      </c>
      <c r="AA88" s="3">
        <v>123266129</v>
      </c>
      <c r="AB88">
        <f t="shared" si="15"/>
        <v>0.14464466552689426</v>
      </c>
      <c r="AE88" s="2">
        <v>43983</v>
      </c>
      <c r="AF88" s="3">
        <v>28088072</v>
      </c>
      <c r="AG88">
        <f t="shared" si="16"/>
        <v>0.17675855430732304</v>
      </c>
      <c r="AJ88" s="2">
        <v>43983</v>
      </c>
      <c r="AK88" s="3">
        <v>26379999</v>
      </c>
      <c r="AL88">
        <f t="shared" si="17"/>
        <v>-7.6573088573657647E-2</v>
      </c>
      <c r="AO88" s="2">
        <v>43983</v>
      </c>
      <c r="AP88" s="3">
        <v>1363530396</v>
      </c>
      <c r="AQ88">
        <f t="shared" si="18"/>
        <v>-0.17516766527586819</v>
      </c>
      <c r="AT88" s="2">
        <v>43983</v>
      </c>
      <c r="AU88" s="3">
        <v>49500000</v>
      </c>
      <c r="AV88">
        <f t="shared" si="19"/>
        <v>0.20303028282828284</v>
      </c>
    </row>
    <row r="89" spans="1:48" x14ac:dyDescent="0.3">
      <c r="A89" s="2">
        <v>44013</v>
      </c>
      <c r="B89" s="3">
        <v>104470558</v>
      </c>
      <c r="C89">
        <f t="shared" si="10"/>
        <v>0.2143798734184994</v>
      </c>
      <c r="F89" s="2">
        <v>44013</v>
      </c>
      <c r="G89" s="3">
        <v>24410128</v>
      </c>
      <c r="H89">
        <f t="shared" si="11"/>
        <v>7.3051972525502523E-2</v>
      </c>
      <c r="K89" s="2">
        <v>44013</v>
      </c>
      <c r="L89" s="3">
        <v>186049896</v>
      </c>
      <c r="M89">
        <f t="shared" si="12"/>
        <v>3.490586202746386E-2</v>
      </c>
      <c r="P89" s="2">
        <v>44013</v>
      </c>
      <c r="Q89" s="3">
        <v>88323349</v>
      </c>
      <c r="R89">
        <f t="shared" si="13"/>
        <v>4.6836935497090358E-2</v>
      </c>
      <c r="U89" s="2">
        <v>44013</v>
      </c>
      <c r="V89" s="3">
        <v>199907379</v>
      </c>
      <c r="W89">
        <f t="shared" si="14"/>
        <v>0.10009289351945333</v>
      </c>
      <c r="Z89" s="2">
        <v>44013</v>
      </c>
      <c r="AA89" s="3">
        <v>141095917</v>
      </c>
      <c r="AB89">
        <f t="shared" si="15"/>
        <v>-4.0266090761506584E-2</v>
      </c>
      <c r="AE89" s="2">
        <v>44013</v>
      </c>
      <c r="AF89" s="3">
        <v>33052879</v>
      </c>
      <c r="AG89">
        <f t="shared" si="16"/>
        <v>-8.3330713793494365E-3</v>
      </c>
      <c r="AJ89" s="2">
        <v>44013</v>
      </c>
      <c r="AK89" s="3">
        <v>24360001</v>
      </c>
      <c r="AL89">
        <f t="shared" si="17"/>
        <v>-9.8522163443260941E-3</v>
      </c>
      <c r="AO89" s="2">
        <v>44013</v>
      </c>
      <c r="AP89" s="3">
        <v>1124683960</v>
      </c>
      <c r="AQ89">
        <f t="shared" si="18"/>
        <v>7.8925818413912469E-2</v>
      </c>
      <c r="AT89" s="2">
        <v>44013</v>
      </c>
      <c r="AU89" s="3">
        <v>59549999</v>
      </c>
      <c r="AV89">
        <f t="shared" si="19"/>
        <v>0.28614605014518973</v>
      </c>
    </row>
    <row r="90" spans="1:48" x14ac:dyDescent="0.3">
      <c r="A90" s="2">
        <v>44044</v>
      </c>
      <c r="B90" s="3">
        <v>126866943</v>
      </c>
      <c r="C90">
        <f t="shared" si="10"/>
        <v>-0.10090827994491836</v>
      </c>
      <c r="F90" s="2">
        <v>44044</v>
      </c>
      <c r="G90" s="3">
        <v>26193336</v>
      </c>
      <c r="H90">
        <f t="shared" si="11"/>
        <v>-1.5128580796275817E-2</v>
      </c>
      <c r="K90" s="2">
        <v>44044</v>
      </c>
      <c r="L90" s="3">
        <v>192544128</v>
      </c>
      <c r="M90">
        <f t="shared" si="12"/>
        <v>-1.3097361244898624E-2</v>
      </c>
      <c r="P90" s="2">
        <v>44044</v>
      </c>
      <c r="Q90" s="3">
        <v>92460144</v>
      </c>
      <c r="R90">
        <f t="shared" si="13"/>
        <v>-3.9125798895576019E-2</v>
      </c>
      <c r="U90" s="2">
        <v>44044</v>
      </c>
      <c r="V90" s="3">
        <v>219916687</v>
      </c>
      <c r="W90">
        <f t="shared" si="14"/>
        <v>-6.5142450968261448E-2</v>
      </c>
      <c r="Z90" s="2">
        <v>44044</v>
      </c>
      <c r="AA90" s="3">
        <v>135414536</v>
      </c>
      <c r="AB90">
        <f t="shared" si="15"/>
        <v>2.8840855017219127E-2</v>
      </c>
      <c r="AE90" s="2">
        <v>44044</v>
      </c>
      <c r="AF90" s="3">
        <v>32777447</v>
      </c>
      <c r="AG90">
        <f t="shared" si="16"/>
        <v>-2.8843613109953318E-2</v>
      </c>
      <c r="AJ90" s="2">
        <v>44044</v>
      </c>
      <c r="AK90" s="3">
        <v>24120001</v>
      </c>
      <c r="AL90">
        <f t="shared" si="17"/>
        <v>2.9850703571695541E-2</v>
      </c>
      <c r="AO90" s="2">
        <v>44044</v>
      </c>
      <c r="AP90" s="3">
        <v>1213450562</v>
      </c>
      <c r="AQ90">
        <f t="shared" si="18"/>
        <v>9.5776737544582394E-2</v>
      </c>
      <c r="AT90" s="2">
        <v>44044</v>
      </c>
      <c r="AU90" s="3">
        <v>76589996</v>
      </c>
      <c r="AV90">
        <f t="shared" si="19"/>
        <v>-0.13565739055528872</v>
      </c>
    </row>
    <row r="91" spans="1:48" x14ac:dyDescent="0.3">
      <c r="A91" s="2">
        <v>44075</v>
      </c>
      <c r="B91" s="3">
        <v>114065018</v>
      </c>
      <c r="C91">
        <f t="shared" si="10"/>
        <v>-6.0012123962493037E-2</v>
      </c>
      <c r="F91" s="2">
        <v>44075</v>
      </c>
      <c r="G91" s="3">
        <v>25797068</v>
      </c>
      <c r="H91">
        <f t="shared" si="11"/>
        <v>-1.0752694841134659E-2</v>
      </c>
      <c r="K91" s="2">
        <v>44075</v>
      </c>
      <c r="L91" s="3">
        <v>190022308</v>
      </c>
      <c r="M91">
        <f t="shared" si="12"/>
        <v>-5.9362003960082413E-2</v>
      </c>
      <c r="P91" s="2">
        <v>44075</v>
      </c>
      <c r="Q91" s="3">
        <v>88842567</v>
      </c>
      <c r="R91">
        <f t="shared" si="13"/>
        <v>1.838584875648629E-2</v>
      </c>
      <c r="U91" s="2">
        <v>44075</v>
      </c>
      <c r="V91" s="3">
        <v>205590775</v>
      </c>
      <c r="W91">
        <f t="shared" si="14"/>
        <v>-3.7369755525266148E-2</v>
      </c>
      <c r="Z91" s="2">
        <v>44075</v>
      </c>
      <c r="AA91" s="3">
        <v>139320007</v>
      </c>
      <c r="AB91">
        <f t="shared" si="15"/>
        <v>3.8859860235292698E-2</v>
      </c>
      <c r="AE91" s="2">
        <v>44075</v>
      </c>
      <c r="AF91" s="3">
        <v>31832027</v>
      </c>
      <c r="AG91">
        <f t="shared" si="16"/>
        <v>-3.3242557880464228E-2</v>
      </c>
      <c r="AJ91" s="2">
        <v>44075</v>
      </c>
      <c r="AK91" s="3">
        <v>24840000</v>
      </c>
      <c r="AL91">
        <f t="shared" si="17"/>
        <v>-0.27214170692431561</v>
      </c>
      <c r="AO91" s="2">
        <v>44075</v>
      </c>
      <c r="AP91" s="3">
        <v>1329670898</v>
      </c>
      <c r="AQ91">
        <f t="shared" si="18"/>
        <v>-0.14108734069623896</v>
      </c>
      <c r="AT91" s="2">
        <v>44075</v>
      </c>
      <c r="AU91" s="3">
        <v>66199997</v>
      </c>
      <c r="AV91">
        <f t="shared" si="19"/>
        <v>0.31495478768677287</v>
      </c>
    </row>
    <row r="92" spans="1:48" x14ac:dyDescent="0.3">
      <c r="A92" s="2">
        <v>44105</v>
      </c>
      <c r="B92" s="3">
        <v>107219734</v>
      </c>
      <c r="C92">
        <f t="shared" si="10"/>
        <v>9.3606546347149114E-2</v>
      </c>
      <c r="F92" s="2">
        <v>44105</v>
      </c>
      <c r="G92" s="3">
        <v>25519680</v>
      </c>
      <c r="H92">
        <f t="shared" si="11"/>
        <v>0.27639754887208617</v>
      </c>
      <c r="K92" s="2">
        <v>44105</v>
      </c>
      <c r="L92" s="3">
        <v>178742203</v>
      </c>
      <c r="M92">
        <f t="shared" si="12"/>
        <v>0.21974194868796598</v>
      </c>
      <c r="P92" s="2">
        <v>44105</v>
      </c>
      <c r="Q92" s="3">
        <v>90476013</v>
      </c>
      <c r="R92">
        <f t="shared" si="13"/>
        <v>0.21352343410623101</v>
      </c>
      <c r="U92" s="2">
        <v>44105</v>
      </c>
      <c r="V92" s="3">
        <v>197907898</v>
      </c>
      <c r="W92">
        <f t="shared" si="14"/>
        <v>5.7292347170500489E-2</v>
      </c>
      <c r="Z92" s="2">
        <v>44105</v>
      </c>
      <c r="AA92" s="3">
        <v>144733963</v>
      </c>
      <c r="AB92">
        <f t="shared" si="15"/>
        <v>1.9068378580914005E-2</v>
      </c>
      <c r="AE92" s="2">
        <v>44105</v>
      </c>
      <c r="AF92" s="3">
        <v>30773849</v>
      </c>
      <c r="AG92">
        <f t="shared" si="16"/>
        <v>0.13807044416185962</v>
      </c>
      <c r="AJ92" s="2">
        <v>44105</v>
      </c>
      <c r="AK92" s="3">
        <v>18080000</v>
      </c>
      <c r="AL92">
        <f t="shared" si="17"/>
        <v>0.43141587389380531</v>
      </c>
      <c r="AO92" s="2">
        <v>44105</v>
      </c>
      <c r="AP92" s="3">
        <v>1142071167</v>
      </c>
      <c r="AQ92">
        <f t="shared" si="18"/>
        <v>3.4455031470030976E-2</v>
      </c>
      <c r="AT92" s="2">
        <v>44105</v>
      </c>
      <c r="AU92" s="3">
        <v>87050003</v>
      </c>
      <c r="AV92">
        <f t="shared" si="19"/>
        <v>7.3291174958374214E-2</v>
      </c>
    </row>
    <row r="93" spans="1:48" x14ac:dyDescent="0.3">
      <c r="A93" s="2">
        <v>44136</v>
      </c>
      <c r="B93" s="3">
        <v>117256203</v>
      </c>
      <c r="C93">
        <f t="shared" si="10"/>
        <v>0.11649648078745992</v>
      </c>
      <c r="F93" s="2">
        <v>44136</v>
      </c>
      <c r="G93" s="3">
        <v>32573257</v>
      </c>
      <c r="H93">
        <f t="shared" si="11"/>
        <v>8.5766369632609959E-2</v>
      </c>
      <c r="K93" s="2">
        <v>44136</v>
      </c>
      <c r="L93" s="3">
        <v>218019363</v>
      </c>
      <c r="M93">
        <f t="shared" si="12"/>
        <v>0.14368086654761944</v>
      </c>
      <c r="P93" s="2">
        <v>44136</v>
      </c>
      <c r="Q93" s="3">
        <v>109794762</v>
      </c>
      <c r="R93">
        <f t="shared" si="13"/>
        <v>7.7960567918531481E-2</v>
      </c>
      <c r="U93" s="2">
        <v>44136</v>
      </c>
      <c r="V93" s="3">
        <v>209246506</v>
      </c>
      <c r="W93">
        <f t="shared" si="14"/>
        <v>4.1725991830898243E-2</v>
      </c>
      <c r="Z93" s="2">
        <v>44136</v>
      </c>
      <c r="AA93" s="3">
        <v>147493805</v>
      </c>
      <c r="AB93">
        <f t="shared" si="15"/>
        <v>4.0140058763824009E-3</v>
      </c>
      <c r="AE93" s="2">
        <v>44136</v>
      </c>
      <c r="AF93" s="3">
        <v>35022808</v>
      </c>
      <c r="AG93">
        <f t="shared" si="16"/>
        <v>-2.9272667114527195E-2</v>
      </c>
      <c r="AJ93" s="2">
        <v>44136</v>
      </c>
      <c r="AK93" s="3">
        <v>25879999</v>
      </c>
      <c r="AL93">
        <f t="shared" si="17"/>
        <v>9.9690884841224292E-2</v>
      </c>
      <c r="AO93" s="2">
        <v>44136</v>
      </c>
      <c r="AP93" s="3">
        <v>1181421265</v>
      </c>
      <c r="AQ93">
        <f t="shared" si="18"/>
        <v>7.9008571933907076E-2</v>
      </c>
      <c r="AT93" s="2">
        <v>44136</v>
      </c>
      <c r="AU93" s="3">
        <v>93430000</v>
      </c>
      <c r="AV93">
        <f t="shared" si="19"/>
        <v>5.876054800385315E-2</v>
      </c>
    </row>
    <row r="94" spans="1:48" x14ac:dyDescent="0.3">
      <c r="A94" s="2">
        <v>44166</v>
      </c>
      <c r="B94" s="3">
        <v>130916138</v>
      </c>
      <c r="C94">
        <f t="shared" si="10"/>
        <v>-5.5014607901128281E-3</v>
      </c>
      <c r="F94" s="2">
        <v>44166</v>
      </c>
      <c r="G94" s="3">
        <v>35366947</v>
      </c>
      <c r="H94">
        <f t="shared" si="11"/>
        <v>-7.4509711002196485E-2</v>
      </c>
      <c r="K94" s="2">
        <v>44166</v>
      </c>
      <c r="L94" s="3">
        <v>249344574</v>
      </c>
      <c r="M94">
        <f t="shared" si="12"/>
        <v>3.3893791488721146E-2</v>
      </c>
      <c r="P94" s="2">
        <v>44166</v>
      </c>
      <c r="Q94" s="3">
        <v>118354424</v>
      </c>
      <c r="R94">
        <f t="shared" si="13"/>
        <v>1.2591536079800448E-2</v>
      </c>
      <c r="U94" s="2">
        <v>44166</v>
      </c>
      <c r="V94" s="3">
        <v>217977524</v>
      </c>
      <c r="W94">
        <f t="shared" si="14"/>
        <v>4.2891839619207714E-2</v>
      </c>
      <c r="Z94" s="2">
        <v>44166</v>
      </c>
      <c r="AA94" s="3">
        <v>148085846</v>
      </c>
      <c r="AB94">
        <f t="shared" si="15"/>
        <v>3.6163280587936809E-2</v>
      </c>
      <c r="AE94" s="2">
        <v>44166</v>
      </c>
      <c r="AF94" s="3">
        <v>33997597</v>
      </c>
      <c r="AG94">
        <f t="shared" si="16"/>
        <v>-2.4721541348937101E-2</v>
      </c>
      <c r="AJ94" s="2">
        <v>44166</v>
      </c>
      <c r="AK94" s="3">
        <v>28459999</v>
      </c>
      <c r="AL94">
        <f t="shared" si="17"/>
        <v>-9.2058998315495369E-2</v>
      </c>
      <c r="AO94" s="2">
        <v>44166</v>
      </c>
      <c r="AP94" s="3">
        <v>1274763672</v>
      </c>
      <c r="AQ94">
        <f t="shared" si="18"/>
        <v>-8.6143990774158168E-3</v>
      </c>
      <c r="AT94" s="2">
        <v>44166</v>
      </c>
      <c r="AU94" s="3">
        <v>98919998</v>
      </c>
      <c r="AV94">
        <f t="shared" si="19"/>
        <v>2.3251516846977695E-3</v>
      </c>
    </row>
    <row r="95" spans="1:48" x14ac:dyDescent="0.3">
      <c r="A95" s="2">
        <v>44197</v>
      </c>
      <c r="B95" s="3">
        <v>130195908</v>
      </c>
      <c r="C95">
        <f t="shared" si="10"/>
        <v>-8.1085144396396858E-2</v>
      </c>
      <c r="F95" s="2">
        <v>44197</v>
      </c>
      <c r="G95" s="3">
        <v>32731766</v>
      </c>
      <c r="H95">
        <f t="shared" si="11"/>
        <v>3.2687481634813102E-2</v>
      </c>
      <c r="K95" s="2">
        <v>44197</v>
      </c>
      <c r="L95" s="3">
        <v>257795807</v>
      </c>
      <c r="M95">
        <f t="shared" si="12"/>
        <v>0.1781536966580686</v>
      </c>
      <c r="P95" s="2">
        <v>44197</v>
      </c>
      <c r="Q95" s="3">
        <v>119844688</v>
      </c>
      <c r="R95">
        <f t="shared" si="13"/>
        <v>0.1520159157992885</v>
      </c>
      <c r="U95" s="2">
        <v>44197</v>
      </c>
      <c r="V95" s="3">
        <v>227326981</v>
      </c>
      <c r="W95">
        <f t="shared" si="14"/>
        <v>1.8106297729788617E-3</v>
      </c>
      <c r="Z95" s="2">
        <v>44197</v>
      </c>
      <c r="AA95" s="3">
        <v>153441116</v>
      </c>
      <c r="AB95">
        <f t="shared" si="15"/>
        <v>-0.10778499551580425</v>
      </c>
      <c r="AE95" s="2">
        <v>44197</v>
      </c>
      <c r="AF95" s="3">
        <v>33157124</v>
      </c>
      <c r="AG95">
        <f t="shared" si="16"/>
        <v>-5.6982626116788657E-2</v>
      </c>
      <c r="AJ95" s="2">
        <v>44197</v>
      </c>
      <c r="AK95" s="3">
        <v>25840000</v>
      </c>
      <c r="AL95">
        <f t="shared" si="17"/>
        <v>2.0123877708978329E-2</v>
      </c>
      <c r="AO95" s="2">
        <v>44197</v>
      </c>
      <c r="AP95" s="3">
        <v>1263782349</v>
      </c>
      <c r="AQ95">
        <f t="shared" si="18"/>
        <v>-7.3135511880772441E-2</v>
      </c>
      <c r="AT95" s="2">
        <v>44197</v>
      </c>
      <c r="AU95" s="3">
        <v>99150002</v>
      </c>
      <c r="AV95">
        <f t="shared" si="19"/>
        <v>-0.18285430796057875</v>
      </c>
    </row>
    <row r="96" spans="1:48" x14ac:dyDescent="0.3">
      <c r="A96" s="2">
        <v>44228</v>
      </c>
      <c r="B96" s="3">
        <v>119638954</v>
      </c>
      <c r="C96">
        <f t="shared" si="10"/>
        <v>8.8449201921307341E-3</v>
      </c>
      <c r="F96" s="2">
        <v>44228</v>
      </c>
      <c r="G96" s="3">
        <v>33801685</v>
      </c>
      <c r="H96">
        <f t="shared" si="11"/>
        <v>7.4443271097284061E-2</v>
      </c>
      <c r="K96" s="2">
        <v>44228</v>
      </c>
      <c r="L96" s="3">
        <v>303723083</v>
      </c>
      <c r="M96">
        <f t="shared" si="12"/>
        <v>2.3538247173659831E-2</v>
      </c>
      <c r="P96" s="2">
        <v>44228</v>
      </c>
      <c r="Q96" s="3">
        <v>138062988</v>
      </c>
      <c r="R96">
        <f t="shared" si="13"/>
        <v>3.4381930079624236E-2</v>
      </c>
      <c r="U96" s="2">
        <v>44228</v>
      </c>
      <c r="V96" s="3">
        <v>227738586</v>
      </c>
      <c r="W96">
        <f t="shared" si="14"/>
        <v>1.6925076543682412E-2</v>
      </c>
      <c r="Z96" s="2">
        <v>44228</v>
      </c>
      <c r="AA96" s="3">
        <v>136902466</v>
      </c>
      <c r="AB96">
        <f t="shared" si="15"/>
        <v>6.0222647852084712E-2</v>
      </c>
      <c r="AE96" s="2">
        <v>44228</v>
      </c>
      <c r="AF96" s="3">
        <v>31267744</v>
      </c>
      <c r="AG96">
        <f t="shared" si="16"/>
        <v>8.1815432542878694E-2</v>
      </c>
      <c r="AJ96" s="2">
        <v>44228</v>
      </c>
      <c r="AK96" s="3">
        <v>26360001</v>
      </c>
      <c r="AL96">
        <f t="shared" si="17"/>
        <v>5.5386909886687791E-2</v>
      </c>
      <c r="AO96" s="2">
        <v>44228</v>
      </c>
      <c r="AP96" s="3">
        <v>1171354980</v>
      </c>
      <c r="AQ96">
        <f t="shared" si="18"/>
        <v>0.14921882007109408</v>
      </c>
      <c r="AT96" s="2">
        <v>44228</v>
      </c>
      <c r="AU96" s="3">
        <v>81019997</v>
      </c>
      <c r="AV96">
        <f t="shared" si="19"/>
        <v>7.7511802425764095E-2</v>
      </c>
    </row>
    <row r="97" spans="1:48" x14ac:dyDescent="0.3">
      <c r="A97" s="2">
        <v>44256</v>
      </c>
      <c r="B97" s="3">
        <v>120697151</v>
      </c>
      <c r="C97">
        <f t="shared" si="10"/>
        <v>7.6217805671320277E-2</v>
      </c>
      <c r="F97" s="2">
        <v>44256</v>
      </c>
      <c r="G97" s="3">
        <v>36317993</v>
      </c>
      <c r="H97">
        <f t="shared" si="11"/>
        <v>0.15548282087063567</v>
      </c>
      <c r="K97" s="2">
        <v>44256</v>
      </c>
      <c r="L97" s="3">
        <v>310872192</v>
      </c>
      <c r="M97">
        <f t="shared" si="12"/>
        <v>6.9782050496173031E-2</v>
      </c>
      <c r="P97" s="2">
        <v>44256</v>
      </c>
      <c r="Q97" s="3">
        <v>142809860</v>
      </c>
      <c r="R97">
        <f t="shared" si="13"/>
        <v>1.03790032424932E-2</v>
      </c>
      <c r="U97" s="2">
        <v>44256</v>
      </c>
      <c r="V97" s="3">
        <v>231593079</v>
      </c>
      <c r="W97">
        <f t="shared" si="14"/>
        <v>6.9601656792170369E-2</v>
      </c>
      <c r="Z97" s="2">
        <v>44256</v>
      </c>
      <c r="AA97" s="3">
        <v>145147095</v>
      </c>
      <c r="AB97">
        <f t="shared" si="15"/>
        <v>4.0488264680736463E-2</v>
      </c>
      <c r="AE97" s="2">
        <v>44256</v>
      </c>
      <c r="AF97" s="3">
        <v>33825928</v>
      </c>
      <c r="AG97">
        <f t="shared" si="16"/>
        <v>6.6795447563182897E-2</v>
      </c>
      <c r="AJ97" s="2">
        <v>44256</v>
      </c>
      <c r="AK97" s="3">
        <v>27820000</v>
      </c>
      <c r="AL97">
        <f t="shared" si="17"/>
        <v>0.406901473759885</v>
      </c>
      <c r="AO97" s="2">
        <v>44256</v>
      </c>
      <c r="AP97" s="3">
        <v>1346143188</v>
      </c>
      <c r="AQ97">
        <f t="shared" si="18"/>
        <v>-7.9083354541329823E-2</v>
      </c>
      <c r="AT97" s="2">
        <v>44256</v>
      </c>
      <c r="AU97" s="3">
        <v>87300003</v>
      </c>
      <c r="AV97">
        <f t="shared" si="19"/>
        <v>-0.1233677391740754</v>
      </c>
    </row>
    <row r="98" spans="1:48" x14ac:dyDescent="0.3">
      <c r="A98" s="2">
        <v>44287</v>
      </c>
      <c r="B98" s="3">
        <v>129896423</v>
      </c>
      <c r="C98">
        <f t="shared" si="10"/>
        <v>-5.2107200827231401E-2</v>
      </c>
      <c r="F98" s="2">
        <v>44287</v>
      </c>
      <c r="G98" s="3">
        <v>41964817</v>
      </c>
      <c r="H98">
        <f t="shared" si="11"/>
        <v>0.21694990353466809</v>
      </c>
      <c r="K98" s="2">
        <v>44287</v>
      </c>
      <c r="L98" s="3">
        <v>332565491</v>
      </c>
      <c r="M98">
        <f t="shared" si="12"/>
        <v>6.764244820578813E-2</v>
      </c>
      <c r="P98" s="2">
        <v>44287</v>
      </c>
      <c r="Q98" s="3">
        <v>144292084</v>
      </c>
      <c r="R98">
        <f t="shared" si="13"/>
        <v>7.4100232691905674E-2</v>
      </c>
      <c r="U98" s="2">
        <v>44287</v>
      </c>
      <c r="V98" s="3">
        <v>247712341</v>
      </c>
      <c r="W98">
        <f t="shared" si="14"/>
        <v>-9.9136522229225556E-3</v>
      </c>
      <c r="Z98" s="2">
        <v>44287</v>
      </c>
      <c r="AA98" s="3">
        <v>151023849</v>
      </c>
      <c r="AB98">
        <f t="shared" si="15"/>
        <v>-6.2183357543747937E-3</v>
      </c>
      <c r="AE98" s="2">
        <v>44287</v>
      </c>
      <c r="AF98" s="3">
        <v>36085346</v>
      </c>
      <c r="AG98">
        <f t="shared" si="16"/>
        <v>2.0698706893374393E-3</v>
      </c>
      <c r="AJ98" s="2">
        <v>44287</v>
      </c>
      <c r="AK98" s="3">
        <v>39139999</v>
      </c>
      <c r="AL98">
        <f t="shared" si="17"/>
        <v>0.22227902969542743</v>
      </c>
      <c r="AO98" s="2">
        <v>44287</v>
      </c>
      <c r="AP98" s="3">
        <v>1239685669</v>
      </c>
      <c r="AQ98">
        <f t="shared" si="18"/>
        <v>0.30984850079766468</v>
      </c>
      <c r="AT98" s="2">
        <v>44287</v>
      </c>
      <c r="AU98" s="3">
        <v>76529999</v>
      </c>
      <c r="AV98">
        <f t="shared" si="19"/>
        <v>-5.4880178425195068E-3</v>
      </c>
    </row>
    <row r="99" spans="1:48" x14ac:dyDescent="0.3">
      <c r="A99" s="2">
        <v>44317</v>
      </c>
      <c r="B99" s="3">
        <v>123127884</v>
      </c>
      <c r="C99">
        <f t="shared" si="10"/>
        <v>0.10097617693162013</v>
      </c>
      <c r="F99" s="2">
        <v>44317</v>
      </c>
      <c r="G99" s="3">
        <v>51069080</v>
      </c>
      <c r="H99">
        <f t="shared" si="11"/>
        <v>-4.3259013085804564E-2</v>
      </c>
      <c r="K99" s="2">
        <v>44317</v>
      </c>
      <c r="L99" s="3">
        <v>355061035</v>
      </c>
      <c r="M99">
        <f t="shared" si="12"/>
        <v>2.363253123508751E-2</v>
      </c>
      <c r="P99" s="2">
        <v>44317</v>
      </c>
      <c r="Q99" s="3">
        <v>154984161</v>
      </c>
      <c r="R99">
        <f t="shared" si="13"/>
        <v>-5.2971425899450461E-2</v>
      </c>
      <c r="U99" s="2">
        <v>44317</v>
      </c>
      <c r="V99" s="3">
        <v>245256607</v>
      </c>
      <c r="W99">
        <f t="shared" si="14"/>
        <v>8.7494368704203754E-2</v>
      </c>
      <c r="Z99" s="2">
        <v>44317</v>
      </c>
      <c r="AA99" s="3">
        <v>150084732</v>
      </c>
      <c r="AB99">
        <f t="shared" si="15"/>
        <v>-1.8010426270408371E-3</v>
      </c>
      <c r="AE99" s="2">
        <v>44317</v>
      </c>
      <c r="AF99" s="3">
        <v>36160038</v>
      </c>
      <c r="AG99">
        <f t="shared" si="16"/>
        <v>2.1065409278607505E-2</v>
      </c>
      <c r="AJ99" s="2">
        <v>44317</v>
      </c>
      <c r="AK99" s="3">
        <v>47840000</v>
      </c>
      <c r="AL99">
        <f t="shared" si="17"/>
        <v>0.19774245401337792</v>
      </c>
      <c r="AO99" s="2">
        <v>44317</v>
      </c>
      <c r="AP99" s="3">
        <v>1623800415</v>
      </c>
      <c r="AQ99">
        <f t="shared" si="18"/>
        <v>2.718330318938858E-2</v>
      </c>
      <c r="AT99" s="2">
        <v>44317</v>
      </c>
      <c r="AU99" s="3">
        <v>76110001</v>
      </c>
      <c r="AV99">
        <f t="shared" si="19"/>
        <v>0.18919985298646888</v>
      </c>
    </row>
    <row r="100" spans="1:48" x14ac:dyDescent="0.3">
      <c r="A100" s="2">
        <v>44348</v>
      </c>
      <c r="B100" s="3">
        <v>135560867</v>
      </c>
      <c r="C100">
        <f t="shared" si="10"/>
        <v>6.4982484952681815E-2</v>
      </c>
      <c r="F100" s="2">
        <v>44348</v>
      </c>
      <c r="G100" s="3">
        <v>48859882</v>
      </c>
      <c r="H100">
        <f t="shared" si="11"/>
        <v>6.0421717760186157E-2</v>
      </c>
      <c r="K100" s="2">
        <v>44348</v>
      </c>
      <c r="L100" s="3">
        <v>363452026</v>
      </c>
      <c r="M100">
        <f t="shared" si="12"/>
        <v>-1.2251969122329228E-2</v>
      </c>
      <c r="P100" s="2">
        <v>44348</v>
      </c>
      <c r="Q100" s="3">
        <v>146774429</v>
      </c>
      <c r="R100">
        <f t="shared" si="13"/>
        <v>-2.417379528691609E-2</v>
      </c>
      <c r="U100" s="2">
        <v>44348</v>
      </c>
      <c r="V100" s="3">
        <v>266715179</v>
      </c>
      <c r="W100">
        <f t="shared" si="14"/>
        <v>5.1716400437786858E-2</v>
      </c>
      <c r="Z100" s="2">
        <v>44348</v>
      </c>
      <c r="AA100" s="3">
        <v>149814423</v>
      </c>
      <c r="AB100">
        <f t="shared" si="15"/>
        <v>0.10367858240190933</v>
      </c>
      <c r="AE100" s="2">
        <v>44348</v>
      </c>
      <c r="AF100" s="3">
        <v>36921764</v>
      </c>
      <c r="AG100">
        <f t="shared" si="16"/>
        <v>9.3207572639270431E-2</v>
      </c>
      <c r="AJ100" s="2">
        <v>44348</v>
      </c>
      <c r="AK100" s="3">
        <v>57299999</v>
      </c>
      <c r="AL100">
        <f t="shared" si="17"/>
        <v>-7.5916196787368176E-2</v>
      </c>
      <c r="AO100" s="2">
        <v>44348</v>
      </c>
      <c r="AP100" s="3">
        <v>1667940674</v>
      </c>
      <c r="AQ100">
        <f t="shared" si="18"/>
        <v>1.745491878328042E-2</v>
      </c>
      <c r="AT100" s="2">
        <v>44348</v>
      </c>
      <c r="AU100" s="3">
        <v>90510002</v>
      </c>
      <c r="AV100">
        <f t="shared" si="19"/>
        <v>-4.9386818044706265E-2</v>
      </c>
    </row>
    <row r="101" spans="1:48" x14ac:dyDescent="0.3">
      <c r="A101" s="2">
        <v>44378</v>
      </c>
      <c r="B101" s="3">
        <v>144369949</v>
      </c>
      <c r="C101">
        <f t="shared" si="10"/>
        <v>4.0929549680730301E-2</v>
      </c>
      <c r="F101" s="2">
        <v>44378</v>
      </c>
      <c r="G101" s="3">
        <v>51812080</v>
      </c>
      <c r="H101">
        <f t="shared" si="11"/>
        <v>-4.5889008895222891E-2</v>
      </c>
      <c r="K101" s="2">
        <v>44378</v>
      </c>
      <c r="L101" s="3">
        <v>358999023</v>
      </c>
      <c r="M101">
        <f t="shared" si="12"/>
        <v>0.1030462414378214</v>
      </c>
      <c r="P101" s="2">
        <v>44378</v>
      </c>
      <c r="Q101" s="3">
        <v>143226334</v>
      </c>
      <c r="R101">
        <f t="shared" si="13"/>
        <v>5.9900723284588155E-2</v>
      </c>
      <c r="U101" s="2">
        <v>44378</v>
      </c>
      <c r="V101" s="3">
        <v>280508728</v>
      </c>
      <c r="W101">
        <f t="shared" si="14"/>
        <v>5.9562585161343003E-2</v>
      </c>
      <c r="Z101" s="2">
        <v>44378</v>
      </c>
      <c r="AA101" s="3">
        <v>165346970</v>
      </c>
      <c r="AB101">
        <f t="shared" si="15"/>
        <v>7.1365468626367931E-2</v>
      </c>
      <c r="AE101" s="2">
        <v>44378</v>
      </c>
      <c r="AF101" s="3">
        <v>40363152</v>
      </c>
      <c r="AG101">
        <f t="shared" si="16"/>
        <v>8.5897132116936753E-2</v>
      </c>
      <c r="AJ101" s="2">
        <v>44378</v>
      </c>
      <c r="AK101" s="3">
        <v>52950001</v>
      </c>
      <c r="AL101">
        <f t="shared" si="17"/>
        <v>-0.12634566333624808</v>
      </c>
      <c r="AO101" s="2">
        <v>44378</v>
      </c>
      <c r="AP101" s="3">
        <v>1697054443</v>
      </c>
      <c r="AQ101">
        <f t="shared" si="18"/>
        <v>0.28887670871263854</v>
      </c>
      <c r="AT101" s="2">
        <v>44378</v>
      </c>
      <c r="AU101" s="3">
        <v>86040001</v>
      </c>
      <c r="AV101">
        <f t="shared" si="19"/>
        <v>9.2515096553752951E-2</v>
      </c>
    </row>
    <row r="102" spans="1:48" x14ac:dyDescent="0.3">
      <c r="A102" s="2">
        <v>44409</v>
      </c>
      <c r="B102" s="3">
        <v>150278946</v>
      </c>
      <c r="C102">
        <f t="shared" si="10"/>
        <v>-6.6640293045440974E-2</v>
      </c>
      <c r="F102" s="2">
        <v>44409</v>
      </c>
      <c r="G102" s="3">
        <v>49434475</v>
      </c>
      <c r="H102">
        <f t="shared" si="11"/>
        <v>-4.7294646094653579E-2</v>
      </c>
      <c r="K102" s="2">
        <v>44409</v>
      </c>
      <c r="L102" s="3">
        <v>395992523</v>
      </c>
      <c r="M102">
        <f t="shared" si="12"/>
        <v>-8.1359856888004928E-2</v>
      </c>
      <c r="P102" s="2">
        <v>44409</v>
      </c>
      <c r="Q102" s="3">
        <v>151805695</v>
      </c>
      <c r="R102">
        <f t="shared" si="13"/>
        <v>2.3382258485098336E-2</v>
      </c>
      <c r="U102" s="2">
        <v>44409</v>
      </c>
      <c r="V102" s="3">
        <v>297216553</v>
      </c>
      <c r="W102">
        <f t="shared" si="14"/>
        <v>-6.4331107426577286E-2</v>
      </c>
      <c r="Z102" s="2">
        <v>44409</v>
      </c>
      <c r="AA102" s="3">
        <v>177147034</v>
      </c>
      <c r="AB102">
        <f t="shared" si="15"/>
        <v>-6.9320251785869591E-2</v>
      </c>
      <c r="AE102" s="2">
        <v>44409</v>
      </c>
      <c r="AF102" s="3">
        <v>43830231</v>
      </c>
      <c r="AG102">
        <f t="shared" si="16"/>
        <v>-6.6420640128499436E-2</v>
      </c>
      <c r="AJ102" s="2">
        <v>44409</v>
      </c>
      <c r="AK102" s="3">
        <v>46259998</v>
      </c>
      <c r="AL102">
        <f t="shared" si="17"/>
        <v>-6.4850629695228264E-3</v>
      </c>
      <c r="AO102" s="2">
        <v>44409</v>
      </c>
      <c r="AP102" s="3">
        <v>2187293945</v>
      </c>
      <c r="AQ102">
        <f t="shared" si="18"/>
        <v>-1.6745438848640895E-2</v>
      </c>
      <c r="AT102" s="2">
        <v>44409</v>
      </c>
      <c r="AU102" s="3">
        <v>94000000</v>
      </c>
      <c r="AV102">
        <f t="shared" si="19"/>
        <v>1.5531904255319149E-2</v>
      </c>
    </row>
    <row r="103" spans="1:48" x14ac:dyDescent="0.3">
      <c r="A103" s="2">
        <v>44440</v>
      </c>
      <c r="B103" s="3">
        <v>140264313</v>
      </c>
      <c r="C103">
        <f t="shared" si="10"/>
        <v>5.8657286547291611E-2</v>
      </c>
      <c r="F103" s="2">
        <v>44440</v>
      </c>
      <c r="G103" s="3">
        <v>47096489</v>
      </c>
      <c r="H103">
        <f t="shared" si="11"/>
        <v>0.10222976494065195</v>
      </c>
      <c r="K103" s="2">
        <v>44440</v>
      </c>
      <c r="L103" s="3">
        <v>363774628</v>
      </c>
      <c r="M103">
        <f t="shared" si="12"/>
        <v>9.3431826696830547E-2</v>
      </c>
      <c r="P103" s="2">
        <v>44440</v>
      </c>
      <c r="Q103" s="3">
        <v>155355255</v>
      </c>
      <c r="R103">
        <f t="shared" si="13"/>
        <v>3.7876562334502296E-2</v>
      </c>
      <c r="U103" s="2">
        <v>44440</v>
      </c>
      <c r="V103" s="3">
        <v>278096283</v>
      </c>
      <c r="W103">
        <f t="shared" si="14"/>
        <v>0.17629124514404243</v>
      </c>
      <c r="Z103" s="2">
        <v>44440</v>
      </c>
      <c r="AA103" s="3">
        <v>164867157</v>
      </c>
      <c r="AB103">
        <f t="shared" si="15"/>
        <v>3.0407044624418435E-2</v>
      </c>
      <c r="AE103" s="2">
        <v>44440</v>
      </c>
      <c r="AF103" s="3">
        <v>40918999</v>
      </c>
      <c r="AG103">
        <f t="shared" si="16"/>
        <v>1.6972727021010461E-2</v>
      </c>
      <c r="AJ103" s="2">
        <v>44440</v>
      </c>
      <c r="AK103" s="3">
        <v>45959999</v>
      </c>
      <c r="AL103">
        <f t="shared" si="17"/>
        <v>3.742386939564555E-2</v>
      </c>
      <c r="AO103" s="2">
        <v>44440</v>
      </c>
      <c r="AP103" s="3">
        <v>2150666748</v>
      </c>
      <c r="AQ103">
        <f t="shared" si="18"/>
        <v>4.7161519140202932E-2</v>
      </c>
      <c r="AT103" s="2">
        <v>44440</v>
      </c>
      <c r="AU103" s="3">
        <v>95459999</v>
      </c>
      <c r="AV103">
        <f t="shared" si="19"/>
        <v>0.25277600306700193</v>
      </c>
    </row>
    <row r="104" spans="1:48" x14ac:dyDescent="0.3">
      <c r="A104" s="2">
        <v>44470</v>
      </c>
      <c r="B104" s="3">
        <v>148491837</v>
      </c>
      <c r="C104">
        <f t="shared" si="10"/>
        <v>0.10347116926030082</v>
      </c>
      <c r="F104" s="2">
        <v>44470</v>
      </c>
      <c r="G104" s="3">
        <v>51911152</v>
      </c>
      <c r="H104">
        <f t="shared" si="11"/>
        <v>6.6793855778812222E-2</v>
      </c>
      <c r="K104" s="2">
        <v>44470</v>
      </c>
      <c r="L104" s="3">
        <v>397762756</v>
      </c>
      <c r="M104">
        <f t="shared" si="12"/>
        <v>-7.828721902761554E-2</v>
      </c>
      <c r="P104" s="2">
        <v>44470</v>
      </c>
      <c r="Q104" s="3">
        <v>161239578</v>
      </c>
      <c r="R104">
        <f t="shared" si="13"/>
        <v>-5.9467508653489529E-2</v>
      </c>
      <c r="U104" s="2">
        <v>44470</v>
      </c>
      <c r="V104" s="3">
        <v>327122223</v>
      </c>
      <c r="W104">
        <f t="shared" si="14"/>
        <v>-3.106031717080866E-3</v>
      </c>
      <c r="Z104" s="2">
        <v>44470</v>
      </c>
      <c r="AA104" s="3">
        <v>169880280</v>
      </c>
      <c r="AB104">
        <f t="shared" si="15"/>
        <v>-3.2207958451681382E-2</v>
      </c>
      <c r="AE104" s="2">
        <v>44470</v>
      </c>
      <c r="AF104" s="3">
        <v>41613506</v>
      </c>
      <c r="AG104">
        <f t="shared" si="16"/>
        <v>0.22839505520154924</v>
      </c>
      <c r="AJ104" s="2">
        <v>44470</v>
      </c>
      <c r="AK104" s="3">
        <v>47680000</v>
      </c>
      <c r="AL104">
        <f t="shared" si="17"/>
        <v>6.5436220637583892E-2</v>
      </c>
      <c r="AO104" s="2">
        <v>44470</v>
      </c>
      <c r="AP104" s="3">
        <v>2252095459</v>
      </c>
      <c r="AQ104">
        <f t="shared" si="18"/>
        <v>-0.15679727765926818</v>
      </c>
      <c r="AT104" s="2">
        <v>44470</v>
      </c>
      <c r="AU104" s="3">
        <v>119589996</v>
      </c>
      <c r="AV104">
        <f t="shared" si="19"/>
        <v>-0.13370681942325677</v>
      </c>
    </row>
    <row r="105" spans="1:48" x14ac:dyDescent="0.3">
      <c r="A105" s="2">
        <v>44501</v>
      </c>
      <c r="B105" s="3">
        <v>163856461</v>
      </c>
      <c r="C105">
        <f t="shared" si="10"/>
        <v>7.5796547320767529E-2</v>
      </c>
      <c r="F105" s="2">
        <v>44501</v>
      </c>
      <c r="G105" s="3">
        <v>55378498</v>
      </c>
      <c r="H105">
        <f t="shared" si="11"/>
        <v>8.5867605148843146E-2</v>
      </c>
      <c r="K105" s="2">
        <v>44501</v>
      </c>
      <c r="L105" s="3">
        <v>366623016</v>
      </c>
      <c r="M105">
        <f t="shared" si="12"/>
        <v>4.0946447290150494E-3</v>
      </c>
      <c r="P105" s="2">
        <v>44501</v>
      </c>
      <c r="Q105" s="3">
        <v>151651062</v>
      </c>
      <c r="R105">
        <f t="shared" si="13"/>
        <v>-3.0219504826151499E-3</v>
      </c>
      <c r="U105" s="2">
        <v>44501</v>
      </c>
      <c r="V105" s="3">
        <v>326106171</v>
      </c>
      <c r="W105">
        <f t="shared" si="14"/>
        <v>1.9193890078210141E-2</v>
      </c>
      <c r="Z105" s="2">
        <v>44501</v>
      </c>
      <c r="AA105" s="3">
        <v>164408783</v>
      </c>
      <c r="AB105">
        <f t="shared" si="15"/>
        <v>0.12437689536330915</v>
      </c>
      <c r="AE105" s="2">
        <v>44501</v>
      </c>
      <c r="AF105" s="3">
        <v>51117825</v>
      </c>
      <c r="AG105">
        <f t="shared" si="16"/>
        <v>0.10866058953016879</v>
      </c>
      <c r="AJ105" s="2">
        <v>44501</v>
      </c>
      <c r="AK105" s="3">
        <v>50799999</v>
      </c>
      <c r="AL105">
        <f t="shared" si="17"/>
        <v>-2.9921260431520876E-2</v>
      </c>
      <c r="AO105" s="2">
        <v>44501</v>
      </c>
      <c r="AP105" s="3">
        <v>1898973022</v>
      </c>
      <c r="AQ105">
        <f t="shared" si="18"/>
        <v>6.1325358312541628E-2</v>
      </c>
      <c r="AT105" s="2">
        <v>44501</v>
      </c>
      <c r="AU105" s="3">
        <v>103599998</v>
      </c>
      <c r="AV105">
        <f t="shared" si="19"/>
        <v>-0.15868720383566032</v>
      </c>
    </row>
    <row r="106" spans="1:48" x14ac:dyDescent="0.3">
      <c r="A106" s="2">
        <v>44531</v>
      </c>
      <c r="B106" s="3">
        <v>176276215</v>
      </c>
      <c r="C106">
        <f t="shared" si="10"/>
        <v>-1.5712011969397005E-2</v>
      </c>
      <c r="F106" s="2">
        <v>44531</v>
      </c>
      <c r="G106" s="3">
        <v>60133717</v>
      </c>
      <c r="H106">
        <f t="shared" si="11"/>
        <v>-0.15733110261585859</v>
      </c>
      <c r="K106" s="2">
        <v>44531</v>
      </c>
      <c r="L106" s="3">
        <v>368124207</v>
      </c>
      <c r="M106">
        <f t="shared" si="12"/>
        <v>-6.7960523986948781E-2</v>
      </c>
      <c r="P106" s="2">
        <v>44531</v>
      </c>
      <c r="Q106" s="3">
        <v>151192780</v>
      </c>
      <c r="R106">
        <f t="shared" si="13"/>
        <v>-6.1572457362051282E-2</v>
      </c>
      <c r="U106" s="2">
        <v>44531</v>
      </c>
      <c r="V106" s="3">
        <v>332365417</v>
      </c>
      <c r="W106">
        <f t="shared" si="14"/>
        <v>-7.5344848528569985E-2</v>
      </c>
      <c r="Z106" s="2">
        <v>44531</v>
      </c>
      <c r="AA106" s="3">
        <v>184857437</v>
      </c>
      <c r="AB106">
        <f t="shared" si="15"/>
        <v>-0.14857566698817748</v>
      </c>
      <c r="AE106" s="2">
        <v>44531</v>
      </c>
      <c r="AF106" s="3">
        <v>56672318</v>
      </c>
      <c r="AG106">
        <f t="shared" si="16"/>
        <v>-0.10770544095267111</v>
      </c>
      <c r="AJ106" s="2">
        <v>44531</v>
      </c>
      <c r="AK106" s="3">
        <v>49279999</v>
      </c>
      <c r="AL106">
        <f t="shared" si="17"/>
        <v>-3.2061648377874355E-2</v>
      </c>
      <c r="AO106" s="2">
        <v>44531</v>
      </c>
      <c r="AP106" s="3">
        <v>2015428223</v>
      </c>
      <c r="AQ106">
        <f t="shared" si="18"/>
        <v>-4.3802362690244019E-2</v>
      </c>
      <c r="AT106" s="2">
        <v>44531</v>
      </c>
      <c r="AU106" s="3">
        <v>87160004</v>
      </c>
      <c r="AV106">
        <f t="shared" si="19"/>
        <v>-0.10073435746974037</v>
      </c>
    </row>
    <row r="107" spans="1:48" x14ac:dyDescent="0.3">
      <c r="A107" s="2">
        <v>44562</v>
      </c>
      <c r="B107" s="3">
        <v>173506561</v>
      </c>
      <c r="C107">
        <f t="shared" si="10"/>
        <v>-5.5269639054168103E-2</v>
      </c>
      <c r="F107" s="2">
        <v>44562</v>
      </c>
      <c r="G107" s="3">
        <v>50672813</v>
      </c>
      <c r="H107">
        <f t="shared" si="11"/>
        <v>-1.6617806475436838E-2</v>
      </c>
      <c r="K107" s="2">
        <v>44562</v>
      </c>
      <c r="L107" s="3">
        <v>343106293</v>
      </c>
      <c r="M107">
        <f t="shared" si="12"/>
        <v>-3.7752248397262711E-2</v>
      </c>
      <c r="P107" s="2">
        <v>44562</v>
      </c>
      <c r="Q107" s="3">
        <v>141883469</v>
      </c>
      <c r="R107">
        <f t="shared" si="13"/>
        <v>-4.0040549050855245E-2</v>
      </c>
      <c r="U107" s="2">
        <v>44562</v>
      </c>
      <c r="V107" s="3">
        <v>307323395</v>
      </c>
      <c r="W107">
        <f t="shared" si="14"/>
        <v>-3.9198847845605768E-2</v>
      </c>
      <c r="Z107" s="2">
        <v>44562</v>
      </c>
      <c r="AA107" s="3">
        <v>157392120</v>
      </c>
      <c r="AB107">
        <f t="shared" si="15"/>
        <v>-6.038565336053673E-2</v>
      </c>
      <c r="AE107" s="2">
        <v>44562</v>
      </c>
      <c r="AF107" s="3">
        <v>50568401</v>
      </c>
      <c r="AG107">
        <f t="shared" si="16"/>
        <v>-0.1023554017458452</v>
      </c>
      <c r="AJ107" s="2">
        <v>44562</v>
      </c>
      <c r="AK107" s="3">
        <v>47700001</v>
      </c>
      <c r="AL107">
        <f t="shared" si="17"/>
        <v>-4.5702326085905111E-2</v>
      </c>
      <c r="AO107" s="2">
        <v>44562</v>
      </c>
      <c r="AP107" s="3">
        <v>1927147705</v>
      </c>
      <c r="AQ107">
        <f t="shared" si="18"/>
        <v>0.11452244134032269</v>
      </c>
      <c r="AT107" s="2">
        <v>44562</v>
      </c>
      <c r="AU107" s="3">
        <v>78379997</v>
      </c>
      <c r="AV107">
        <f t="shared" si="19"/>
        <v>-3.9423272751592478E-2</v>
      </c>
    </row>
    <row r="108" spans="1:48" x14ac:dyDescent="0.3">
      <c r="A108" s="2">
        <v>44593</v>
      </c>
      <c r="B108" s="3">
        <v>163916916</v>
      </c>
      <c r="C108">
        <f t="shared" si="10"/>
        <v>5.8820799190731479E-2</v>
      </c>
      <c r="F108" s="2">
        <v>44593</v>
      </c>
      <c r="G108" s="3">
        <v>49830742</v>
      </c>
      <c r="H108">
        <f t="shared" si="11"/>
        <v>5.5665958174975598E-2</v>
      </c>
      <c r="K108" s="2">
        <v>44593</v>
      </c>
      <c r="L108" s="3">
        <v>330153259</v>
      </c>
      <c r="M108">
        <f t="shared" si="12"/>
        <v>-3.2787375877455747E-2</v>
      </c>
      <c r="P108" s="2">
        <v>44593</v>
      </c>
      <c r="Q108" s="3">
        <v>136202377</v>
      </c>
      <c r="R108">
        <f t="shared" si="13"/>
        <v>-3.8645962838078807E-2</v>
      </c>
      <c r="U108" s="2">
        <v>44593</v>
      </c>
      <c r="V108" s="3">
        <v>295276672</v>
      </c>
      <c r="W108">
        <f t="shared" si="14"/>
        <v>3.3995526744489996E-2</v>
      </c>
      <c r="Z108" s="2">
        <v>44593</v>
      </c>
      <c r="AA108" s="3">
        <v>147887894</v>
      </c>
      <c r="AB108">
        <f t="shared" si="15"/>
        <v>9.9837171256221963E-2</v>
      </c>
      <c r="AE108" s="2">
        <v>44593</v>
      </c>
      <c r="AF108" s="3">
        <v>45392452</v>
      </c>
      <c r="AG108">
        <f t="shared" si="16"/>
        <v>0.10289730548153689</v>
      </c>
      <c r="AJ108" s="2">
        <v>44593</v>
      </c>
      <c r="AK108" s="3">
        <v>45520000</v>
      </c>
      <c r="AL108">
        <f t="shared" si="17"/>
        <v>-0.10281195079086115</v>
      </c>
      <c r="AO108" s="2">
        <v>44593</v>
      </c>
      <c r="AP108" s="3">
        <v>2147849365</v>
      </c>
      <c r="AQ108">
        <f t="shared" si="18"/>
        <v>-0.13248802995083409</v>
      </c>
      <c r="AT108" s="2">
        <v>44593</v>
      </c>
      <c r="AU108" s="3">
        <v>75290001</v>
      </c>
      <c r="AV108">
        <f t="shared" si="19"/>
        <v>0.112232658889193</v>
      </c>
    </row>
    <row r="109" spans="1:48" x14ac:dyDescent="0.3">
      <c r="A109" s="2">
        <v>44621</v>
      </c>
      <c r="B109" s="3">
        <v>173558640</v>
      </c>
      <c r="C109">
        <f t="shared" si="10"/>
        <v>-9.7130923588707535E-2</v>
      </c>
      <c r="F109" s="2">
        <v>44621</v>
      </c>
      <c r="G109" s="3">
        <v>52604618</v>
      </c>
      <c r="H109">
        <f t="shared" si="11"/>
        <v>-7.2316388648616364E-2</v>
      </c>
      <c r="K109" s="2">
        <v>44621</v>
      </c>
      <c r="L109" s="3">
        <v>319328400</v>
      </c>
      <c r="M109">
        <f t="shared" si="12"/>
        <v>-6.9098057047227865E-2</v>
      </c>
      <c r="P109" s="2">
        <v>44621</v>
      </c>
      <c r="Q109" s="3">
        <v>130938705</v>
      </c>
      <c r="R109">
        <f t="shared" si="13"/>
        <v>-0.12441326649748063</v>
      </c>
      <c r="U109" s="2">
        <v>44621</v>
      </c>
      <c r="V109" s="3">
        <v>305314758</v>
      </c>
      <c r="W109">
        <f t="shared" si="14"/>
        <v>-9.9867118116838627E-2</v>
      </c>
      <c r="Z109" s="2">
        <v>44621</v>
      </c>
      <c r="AA109" s="3">
        <v>162652603</v>
      </c>
      <c r="AB109">
        <f t="shared" si="15"/>
        <v>-6.9171724229952838E-2</v>
      </c>
      <c r="AE109" s="2">
        <v>44621</v>
      </c>
      <c r="AF109" s="3">
        <v>50063213</v>
      </c>
      <c r="AG109">
        <f t="shared" si="16"/>
        <v>-5.2153744107474684E-2</v>
      </c>
      <c r="AJ109" s="2">
        <v>44621</v>
      </c>
      <c r="AK109" s="3">
        <v>40840000</v>
      </c>
      <c r="AL109">
        <f t="shared" si="17"/>
        <v>-6.953966699314397E-2</v>
      </c>
      <c r="AO109" s="2">
        <v>44621</v>
      </c>
      <c r="AP109" s="3">
        <v>1863285034</v>
      </c>
      <c r="AQ109">
        <f t="shared" si="18"/>
        <v>0.25640376393427311</v>
      </c>
      <c r="AT109" s="2">
        <v>44621</v>
      </c>
      <c r="AU109" s="3">
        <v>83739998</v>
      </c>
      <c r="AV109">
        <f t="shared" si="19"/>
        <v>-0.12789585927623262</v>
      </c>
    </row>
    <row r="110" spans="1:48" x14ac:dyDescent="0.3">
      <c r="A110" s="2">
        <v>44652</v>
      </c>
      <c r="B110" s="3">
        <v>156700729</v>
      </c>
      <c r="C110">
        <f t="shared" si="10"/>
        <v>-5.5883128661130863E-2</v>
      </c>
      <c r="F110" s="2">
        <v>44652</v>
      </c>
      <c r="G110" s="3">
        <v>48800442</v>
      </c>
      <c r="H110">
        <f t="shared" si="11"/>
        <v>-5.3593203110742317E-2</v>
      </c>
      <c r="K110" s="2">
        <v>44652</v>
      </c>
      <c r="L110" s="3">
        <v>297263428</v>
      </c>
      <c r="M110">
        <f t="shared" si="12"/>
        <v>6.9920441070874015E-2</v>
      </c>
      <c r="P110" s="2">
        <v>44652</v>
      </c>
      <c r="Q110" s="3">
        <v>114648193</v>
      </c>
      <c r="R110">
        <f t="shared" si="13"/>
        <v>0.11603676998206156</v>
      </c>
      <c r="U110" s="2">
        <v>44652</v>
      </c>
      <c r="V110" s="3">
        <v>274823853</v>
      </c>
      <c r="W110">
        <f t="shared" si="14"/>
        <v>-2.035883326328301E-2</v>
      </c>
      <c r="Z110" s="2">
        <v>44652</v>
      </c>
      <c r="AA110" s="3">
        <v>151401642</v>
      </c>
      <c r="AB110">
        <f t="shared" si="15"/>
        <v>-1.8367092742626927E-2</v>
      </c>
      <c r="AE110" s="2">
        <v>44652</v>
      </c>
      <c r="AF110" s="3">
        <v>47452229</v>
      </c>
      <c r="AG110">
        <f t="shared" si="16"/>
        <v>8.0904924403024353E-2</v>
      </c>
      <c r="AJ110" s="2">
        <v>44652</v>
      </c>
      <c r="AK110" s="3">
        <v>38000000</v>
      </c>
      <c r="AL110">
        <f t="shared" si="17"/>
        <v>-8.3157894736842111E-2</v>
      </c>
      <c r="AO110" s="2">
        <v>44652</v>
      </c>
      <c r="AP110" s="3">
        <v>2341038330</v>
      </c>
      <c r="AQ110">
        <f t="shared" si="18"/>
        <v>-0.10478915567349981</v>
      </c>
      <c r="AT110" s="2">
        <v>44652</v>
      </c>
      <c r="AU110" s="3">
        <v>73029999</v>
      </c>
      <c r="AV110">
        <f t="shared" si="19"/>
        <v>-3.3137040026523894E-2</v>
      </c>
    </row>
    <row r="111" spans="1:48" x14ac:dyDescent="0.3">
      <c r="A111" s="2">
        <v>44682</v>
      </c>
      <c r="B111" s="3">
        <v>147943802</v>
      </c>
      <c r="C111">
        <f t="shared" si="10"/>
        <v>-8.0080178012459077E-2</v>
      </c>
      <c r="F111" s="2">
        <v>44682</v>
      </c>
      <c r="G111" s="3">
        <v>46185070</v>
      </c>
      <c r="H111">
        <f t="shared" si="11"/>
        <v>-6.9396235623330221E-2</v>
      </c>
      <c r="K111" s="2">
        <v>44682</v>
      </c>
      <c r="L111" s="3">
        <v>318048218</v>
      </c>
      <c r="M111">
        <f t="shared" si="12"/>
        <v>-8.5699848190943173E-2</v>
      </c>
      <c r="P111" s="2">
        <v>44682</v>
      </c>
      <c r="Q111" s="3">
        <v>127951599</v>
      </c>
      <c r="R111">
        <f t="shared" si="13"/>
        <v>-0.14837779401256251</v>
      </c>
      <c r="U111" s="2">
        <v>44682</v>
      </c>
      <c r="V111" s="3">
        <v>269228760</v>
      </c>
      <c r="W111">
        <f t="shared" si="14"/>
        <v>-5.3120249857407507E-2</v>
      </c>
      <c r="Z111" s="2">
        <v>44682</v>
      </c>
      <c r="AA111" s="3">
        <v>148620834</v>
      </c>
      <c r="AB111">
        <f t="shared" si="15"/>
        <v>-1.2053982956386855E-2</v>
      </c>
      <c r="AE111" s="2">
        <v>44682</v>
      </c>
      <c r="AF111" s="3">
        <v>51291348</v>
      </c>
      <c r="AG111">
        <f t="shared" si="16"/>
        <v>-3.4396249441523744E-3</v>
      </c>
      <c r="AJ111" s="2">
        <v>44682</v>
      </c>
      <c r="AK111" s="3">
        <v>34840000</v>
      </c>
      <c r="AL111">
        <f t="shared" si="17"/>
        <v>-0.14810562571756603</v>
      </c>
      <c r="AO111" s="2">
        <v>44682</v>
      </c>
      <c r="AP111" s="3">
        <v>2095722900</v>
      </c>
      <c r="AQ111">
        <f t="shared" si="18"/>
        <v>1.4174610107090016E-2</v>
      </c>
      <c r="AT111" s="2">
        <v>44682</v>
      </c>
      <c r="AU111" s="3">
        <v>70610001</v>
      </c>
      <c r="AV111">
        <f t="shared" si="19"/>
        <v>-3.512256004641609E-2</v>
      </c>
    </row>
    <row r="112" spans="1:48" x14ac:dyDescent="0.3">
      <c r="A112" s="2">
        <v>44713</v>
      </c>
      <c r="B112" s="3">
        <v>136096436</v>
      </c>
      <c r="C112">
        <f t="shared" si="10"/>
        <v>0.18863372733728309</v>
      </c>
      <c r="F112" s="2">
        <v>44713</v>
      </c>
      <c r="G112" s="3">
        <v>42980000</v>
      </c>
      <c r="H112">
        <f t="shared" si="11"/>
        <v>0.3134016053978595</v>
      </c>
      <c r="K112" s="2">
        <v>44713</v>
      </c>
      <c r="L112" s="3">
        <v>290791534</v>
      </c>
      <c r="M112">
        <f t="shared" si="12"/>
        <v>0.12244968245877474</v>
      </c>
      <c r="P112" s="2">
        <v>44713</v>
      </c>
      <c r="Q112" s="3">
        <v>108966423</v>
      </c>
      <c r="R112">
        <f t="shared" si="13"/>
        <v>2.4420467578347507E-2</v>
      </c>
      <c r="U112" s="2">
        <v>44713</v>
      </c>
      <c r="V112" s="3">
        <v>254927261</v>
      </c>
      <c r="W112">
        <f t="shared" si="14"/>
        <v>9.3096614724150664E-2</v>
      </c>
      <c r="Z112" s="2">
        <v>44713</v>
      </c>
      <c r="AA112" s="3">
        <v>146829361</v>
      </c>
      <c r="AB112">
        <f t="shared" si="15"/>
        <v>4.4834309399466775E-2</v>
      </c>
      <c r="AE112" s="2">
        <v>44713</v>
      </c>
      <c r="AF112" s="3">
        <v>51114925</v>
      </c>
      <c r="AG112">
        <f t="shared" si="16"/>
        <v>-3.6620243500308375E-2</v>
      </c>
      <c r="AJ112" s="2">
        <v>44713</v>
      </c>
      <c r="AK112" s="3">
        <v>29680000</v>
      </c>
      <c r="AL112">
        <f t="shared" si="17"/>
        <v>0.16307277628032346</v>
      </c>
      <c r="AO112" s="2">
        <v>44713</v>
      </c>
      <c r="AP112" s="3">
        <v>2125428955</v>
      </c>
      <c r="AQ112">
        <f t="shared" si="18"/>
        <v>9.648339621871764E-2</v>
      </c>
      <c r="AT112" s="2">
        <v>44713</v>
      </c>
      <c r="AU112" s="3">
        <v>68129997</v>
      </c>
      <c r="AV112">
        <f t="shared" si="19"/>
        <v>0.45559962376044139</v>
      </c>
    </row>
    <row r="113" spans="1:48" x14ac:dyDescent="0.3">
      <c r="A113" s="2">
        <v>44743</v>
      </c>
      <c r="B113" s="3">
        <v>161768814</v>
      </c>
      <c r="C113">
        <f t="shared" si="10"/>
        <v>-3.2551725328220558E-2</v>
      </c>
      <c r="F113" s="2">
        <v>44743</v>
      </c>
      <c r="G113" s="3">
        <v>56450001</v>
      </c>
      <c r="H113">
        <f t="shared" si="11"/>
        <v>-8.2373816078408921E-2</v>
      </c>
      <c r="K113" s="2">
        <v>44743</v>
      </c>
      <c r="L113" s="3">
        <v>326398865</v>
      </c>
      <c r="M113">
        <f t="shared" si="12"/>
        <v>-2.1596122890929783E-3</v>
      </c>
      <c r="P113" s="2">
        <v>44743</v>
      </c>
      <c r="Q113" s="3">
        <v>111627434</v>
      </c>
      <c r="R113">
        <f t="shared" si="13"/>
        <v>-5.4089839599824538E-3</v>
      </c>
      <c r="U113" s="2">
        <v>44743</v>
      </c>
      <c r="V113" s="3">
        <v>278660126</v>
      </c>
      <c r="W113">
        <f t="shared" si="14"/>
        <v>-6.8640100306277763E-2</v>
      </c>
      <c r="Z113" s="2">
        <v>44743</v>
      </c>
      <c r="AA113" s="3">
        <v>153412354</v>
      </c>
      <c r="AB113">
        <f t="shared" si="15"/>
        <v>-4.4969122890846196E-2</v>
      </c>
      <c r="AE113" s="2">
        <v>44743</v>
      </c>
      <c r="AF113" s="3">
        <v>49243084</v>
      </c>
      <c r="AG113">
        <f t="shared" si="16"/>
        <v>-9.7585378689929336E-2</v>
      </c>
      <c r="AJ113" s="2">
        <v>44743</v>
      </c>
      <c r="AK113" s="3">
        <v>34520000</v>
      </c>
      <c r="AL113">
        <f t="shared" si="17"/>
        <v>0.17149475666280417</v>
      </c>
      <c r="AO113" s="2">
        <v>44743</v>
      </c>
      <c r="AP113" s="3">
        <v>2330497559</v>
      </c>
      <c r="AQ113">
        <f t="shared" si="18"/>
        <v>1.8503270185145901E-2</v>
      </c>
      <c r="AT113" s="2">
        <v>44743</v>
      </c>
      <c r="AU113" s="3">
        <v>99169998</v>
      </c>
      <c r="AV113">
        <f t="shared" si="19"/>
        <v>0.28617531080317254</v>
      </c>
    </row>
    <row r="114" spans="1:48" x14ac:dyDescent="0.3">
      <c r="A114" s="2">
        <v>44774</v>
      </c>
      <c r="B114" s="3">
        <v>156502960</v>
      </c>
      <c r="C114">
        <f t="shared" si="10"/>
        <v>-0.11975611835073278</v>
      </c>
      <c r="F114" s="2">
        <v>44774</v>
      </c>
      <c r="G114" s="3">
        <v>51799999</v>
      </c>
      <c r="H114">
        <f t="shared" si="11"/>
        <v>-3.3783784435980395E-2</v>
      </c>
      <c r="K114" s="2">
        <v>44774</v>
      </c>
      <c r="L114" s="3">
        <v>325693970</v>
      </c>
      <c r="M114">
        <f t="shared" si="12"/>
        <v>-0.11244647544441796</v>
      </c>
      <c r="P114" s="2">
        <v>44774</v>
      </c>
      <c r="Q114" s="3">
        <v>111023643</v>
      </c>
      <c r="R114">
        <f t="shared" si="13"/>
        <v>-8.1157127946161881E-2</v>
      </c>
      <c r="U114" s="2">
        <v>44774</v>
      </c>
      <c r="V114" s="3">
        <v>259532867</v>
      </c>
      <c r="W114">
        <f t="shared" si="14"/>
        <v>-0.10737611124990963</v>
      </c>
      <c r="Z114" s="2">
        <v>44774</v>
      </c>
      <c r="AA114" s="3">
        <v>146513535</v>
      </c>
      <c r="AB114">
        <f t="shared" si="15"/>
        <v>-0.11950090481401598</v>
      </c>
      <c r="AE114" s="2">
        <v>44774</v>
      </c>
      <c r="AF114" s="3">
        <v>44437679</v>
      </c>
      <c r="AG114">
        <f t="shared" si="16"/>
        <v>-3.250061732522079E-2</v>
      </c>
      <c r="AJ114" s="2">
        <v>44774</v>
      </c>
      <c r="AK114" s="3">
        <v>40439999</v>
      </c>
      <c r="AL114">
        <f t="shared" si="17"/>
        <v>3.8081133483707556E-2</v>
      </c>
      <c r="AO114" s="2">
        <v>44774</v>
      </c>
      <c r="AP114" s="3">
        <v>2373619385</v>
      </c>
      <c r="AQ114">
        <f t="shared" si="18"/>
        <v>-5.6116297263893472E-2</v>
      </c>
      <c r="AT114" s="2">
        <v>44774</v>
      </c>
      <c r="AU114" s="3">
        <v>127550003</v>
      </c>
      <c r="AV114">
        <f t="shared" si="19"/>
        <v>3.7005103010464058E-2</v>
      </c>
    </row>
    <row r="115" spans="1:48" x14ac:dyDescent="0.3">
      <c r="A115" s="2">
        <v>44805</v>
      </c>
      <c r="B115" s="3">
        <v>137760773</v>
      </c>
      <c r="C115">
        <f t="shared" si="10"/>
        <v>0.10955152668895085</v>
      </c>
      <c r="F115" s="2">
        <v>44805</v>
      </c>
      <c r="G115" s="3">
        <v>50049999</v>
      </c>
      <c r="H115">
        <f t="shared" si="11"/>
        <v>0.17182823520136334</v>
      </c>
      <c r="K115" s="2">
        <v>44805</v>
      </c>
      <c r="L115" s="3">
        <v>289070831</v>
      </c>
      <c r="M115">
        <f t="shared" si="12"/>
        <v>0.17560157081362526</v>
      </c>
      <c r="P115" s="2">
        <v>44805</v>
      </c>
      <c r="Q115" s="3">
        <v>102013283</v>
      </c>
      <c r="R115">
        <f t="shared" si="13"/>
        <v>0.20459326850602386</v>
      </c>
      <c r="U115" s="2">
        <v>44805</v>
      </c>
      <c r="V115" s="3">
        <v>231665237</v>
      </c>
      <c r="W115">
        <f t="shared" si="14"/>
        <v>-3.3061239999508428E-3</v>
      </c>
      <c r="Z115" s="2">
        <v>44805</v>
      </c>
      <c r="AA115" s="3">
        <v>129005035</v>
      </c>
      <c r="AB115">
        <f t="shared" si="15"/>
        <v>0.11662558752067313</v>
      </c>
      <c r="AE115" s="2">
        <v>44805</v>
      </c>
      <c r="AF115" s="3">
        <v>42993427</v>
      </c>
      <c r="AG115">
        <f t="shared" si="16"/>
        <v>6.375688544204676E-2</v>
      </c>
      <c r="AJ115" s="2">
        <v>44805</v>
      </c>
      <c r="AK115" s="3">
        <v>41980000</v>
      </c>
      <c r="AL115">
        <f t="shared" si="17"/>
        <v>-0.24821345878989995</v>
      </c>
      <c r="AO115" s="2">
        <v>44805</v>
      </c>
      <c r="AP115" s="3">
        <v>2240420654</v>
      </c>
      <c r="AQ115">
        <f t="shared" si="18"/>
        <v>1.2403720234584125E-2</v>
      </c>
      <c r="AT115" s="2">
        <v>44805</v>
      </c>
      <c r="AU115" s="3">
        <v>132270004</v>
      </c>
      <c r="AV115">
        <f t="shared" si="19"/>
        <v>0.10055192105384679</v>
      </c>
    </row>
    <row r="116" spans="1:48" x14ac:dyDescent="0.3">
      <c r="A116" s="2">
        <v>44835</v>
      </c>
      <c r="B116" s="3">
        <v>152852676</v>
      </c>
      <c r="C116">
        <f t="shared" si="10"/>
        <v>-3.4629004467020254E-2</v>
      </c>
      <c r="F116" s="2">
        <v>44835</v>
      </c>
      <c r="G116" s="3">
        <v>58650002</v>
      </c>
      <c r="H116">
        <f t="shared" si="11"/>
        <v>7.2463765644884381E-2</v>
      </c>
      <c r="K116" s="2">
        <v>44835</v>
      </c>
      <c r="L116" s="3">
        <v>339832123</v>
      </c>
      <c r="M116">
        <f t="shared" si="12"/>
        <v>0.12086728187258507</v>
      </c>
      <c r="P116" s="2">
        <v>44835</v>
      </c>
      <c r="Q116" s="3">
        <v>122884514</v>
      </c>
      <c r="R116">
        <f t="shared" si="13"/>
        <v>0.10753319983020806</v>
      </c>
      <c r="U116" s="2">
        <v>44835</v>
      </c>
      <c r="V116" s="3">
        <v>230899323</v>
      </c>
      <c r="W116">
        <f t="shared" si="14"/>
        <v>9.9125453044312306E-2</v>
      </c>
      <c r="Z116" s="2">
        <v>44835</v>
      </c>
      <c r="AA116" s="3">
        <v>144050323</v>
      </c>
      <c r="AB116">
        <f t="shared" si="15"/>
        <v>4.4172327194295841E-2</v>
      </c>
      <c r="AE116" s="2">
        <v>44835</v>
      </c>
      <c r="AF116" s="3">
        <v>45734554</v>
      </c>
      <c r="AG116">
        <f t="shared" si="16"/>
        <v>7.690657702707672E-2</v>
      </c>
      <c r="AJ116" s="2">
        <v>44835</v>
      </c>
      <c r="AK116" s="3">
        <v>31559999</v>
      </c>
      <c r="AL116">
        <f t="shared" si="17"/>
        <v>6.337142152634416E-2</v>
      </c>
      <c r="AO116" s="2">
        <v>44835</v>
      </c>
      <c r="AP116" s="3">
        <v>2268210205</v>
      </c>
      <c r="AQ116">
        <f t="shared" si="18"/>
        <v>4.6472835616221024E-3</v>
      </c>
      <c r="AT116" s="2">
        <v>44835</v>
      </c>
      <c r="AU116" s="3">
        <v>145570007</v>
      </c>
      <c r="AV116">
        <f t="shared" si="19"/>
        <v>0.18520293126042098</v>
      </c>
    </row>
    <row r="117" spans="1:48" x14ac:dyDescent="0.3">
      <c r="A117" s="2">
        <v>44866</v>
      </c>
      <c r="B117" s="3">
        <v>147559540</v>
      </c>
      <c r="C117">
        <f t="shared" si="10"/>
        <v>-0.12081646500117851</v>
      </c>
      <c r="F117" s="2">
        <v>44866</v>
      </c>
      <c r="G117" s="3">
        <v>62900002</v>
      </c>
      <c r="H117">
        <f t="shared" si="11"/>
        <v>9.8569090665529713E-2</v>
      </c>
      <c r="K117" s="2">
        <v>44866</v>
      </c>
      <c r="L117" s="3">
        <v>380906708</v>
      </c>
      <c r="M117">
        <f t="shared" si="12"/>
        <v>-0.10492830701212014</v>
      </c>
      <c r="P117" s="2">
        <v>44866</v>
      </c>
      <c r="Q117" s="3">
        <v>136098679</v>
      </c>
      <c r="R117">
        <f t="shared" si="13"/>
        <v>-2.9526554038044703E-2</v>
      </c>
      <c r="U117" s="2">
        <v>44866</v>
      </c>
      <c r="V117" s="3">
        <v>253787323</v>
      </c>
      <c r="W117">
        <f t="shared" si="14"/>
        <v>-5.7396476024927374E-2</v>
      </c>
      <c r="Z117" s="2">
        <v>44866</v>
      </c>
      <c r="AA117" s="3">
        <v>150413361</v>
      </c>
      <c r="AB117">
        <f t="shared" si="15"/>
        <v>9.1027219317305202E-3</v>
      </c>
      <c r="AE117" s="2">
        <v>44866</v>
      </c>
      <c r="AF117" s="3">
        <v>49251842</v>
      </c>
      <c r="AG117">
        <f t="shared" si="16"/>
        <v>3.0903006632726548E-2</v>
      </c>
      <c r="AJ117" s="2">
        <v>44866</v>
      </c>
      <c r="AK117" s="3">
        <v>33560001</v>
      </c>
      <c r="AL117">
        <f t="shared" si="17"/>
        <v>-9.7735396372604394E-2</v>
      </c>
      <c r="AO117" s="2">
        <v>44866</v>
      </c>
      <c r="AP117" s="3">
        <v>2278751221</v>
      </c>
      <c r="AQ117">
        <f t="shared" si="18"/>
        <v>-0.1215307008715367</v>
      </c>
      <c r="AT117" s="2">
        <v>44866</v>
      </c>
      <c r="AU117" s="3">
        <v>172529999</v>
      </c>
      <c r="AV117">
        <f t="shared" si="19"/>
        <v>-0.13180320020751871</v>
      </c>
    </row>
    <row r="118" spans="1:48" x14ac:dyDescent="0.3">
      <c r="A118" s="2">
        <v>44896</v>
      </c>
      <c r="B118" s="3">
        <v>129731918</v>
      </c>
      <c r="C118">
        <f t="shared" si="10"/>
        <v>0.11052102844883555</v>
      </c>
      <c r="F118" s="2">
        <v>44896</v>
      </c>
      <c r="G118" s="3">
        <v>69099998</v>
      </c>
      <c r="H118">
        <f t="shared" si="11"/>
        <v>0.103473259145391</v>
      </c>
      <c r="K118" s="2">
        <v>44896</v>
      </c>
      <c r="L118" s="3">
        <v>340938812</v>
      </c>
      <c r="M118">
        <f t="shared" si="12"/>
        <v>6.5321128648738291E-2</v>
      </c>
      <c r="P118" s="2">
        <v>44896</v>
      </c>
      <c r="Q118" s="3">
        <v>132080154</v>
      </c>
      <c r="R118">
        <f t="shared" si="13"/>
        <v>4.369868466385949E-2</v>
      </c>
      <c r="U118" s="2">
        <v>44896</v>
      </c>
      <c r="V118" s="3">
        <v>239220825</v>
      </c>
      <c r="W118">
        <f t="shared" si="14"/>
        <v>3.3316631192121339E-2</v>
      </c>
      <c r="Z118" s="2">
        <v>44896</v>
      </c>
      <c r="AA118" s="3">
        <v>151782532</v>
      </c>
      <c r="AB118">
        <f t="shared" si="15"/>
        <v>2.6702532541755201E-2</v>
      </c>
      <c r="AE118" s="2">
        <v>44896</v>
      </c>
      <c r="AF118" s="3">
        <v>50773872</v>
      </c>
      <c r="AG118">
        <f t="shared" si="16"/>
        <v>-0.13817331087138676</v>
      </c>
      <c r="AJ118" s="2">
        <v>44896</v>
      </c>
      <c r="AK118" s="3">
        <v>30280001</v>
      </c>
      <c r="AL118">
        <f t="shared" si="17"/>
        <v>0.18361951176950092</v>
      </c>
      <c r="AO118" s="2">
        <v>44896</v>
      </c>
      <c r="AP118" s="3">
        <v>2001812988</v>
      </c>
      <c r="AQ118">
        <f t="shared" si="18"/>
        <v>3.4466193102749516E-2</v>
      </c>
      <c r="AT118" s="2">
        <v>44896</v>
      </c>
      <c r="AU118" s="3">
        <v>149789993</v>
      </c>
      <c r="AV118">
        <f t="shared" si="19"/>
        <v>0.18566001935790197</v>
      </c>
    </row>
    <row r="119" spans="1:48" x14ac:dyDescent="0.3">
      <c r="A119" s="2">
        <v>44927</v>
      </c>
      <c r="B119" s="3">
        <v>144070023</v>
      </c>
      <c r="C119">
        <f t="shared" si="10"/>
        <v>2.1623158899613696E-2</v>
      </c>
      <c r="F119" s="2">
        <v>44927</v>
      </c>
      <c r="G119" s="3">
        <v>76250000</v>
      </c>
      <c r="H119">
        <f t="shared" si="11"/>
        <v>4.5245862295081971E-2</v>
      </c>
      <c r="K119" s="2">
        <v>44927</v>
      </c>
      <c r="L119" s="3">
        <v>363209320</v>
      </c>
      <c r="M119">
        <f t="shared" si="12"/>
        <v>-3.8708604724129875E-2</v>
      </c>
      <c r="P119" s="2">
        <v>44927</v>
      </c>
      <c r="Q119" s="3">
        <v>137851883</v>
      </c>
      <c r="R119">
        <f t="shared" si="13"/>
        <v>3.1786769281925586E-2</v>
      </c>
      <c r="U119" s="2">
        <v>44927</v>
      </c>
      <c r="V119" s="3">
        <v>247190857</v>
      </c>
      <c r="W119">
        <f t="shared" si="14"/>
        <v>6.4968907810372617E-3</v>
      </c>
      <c r="Z119" s="2">
        <v>44927</v>
      </c>
      <c r="AA119" s="3">
        <v>155835510</v>
      </c>
      <c r="AB119">
        <f t="shared" si="15"/>
        <v>-0.10294584334469083</v>
      </c>
      <c r="AE119" s="2">
        <v>44927</v>
      </c>
      <c r="AF119" s="3">
        <v>43758278</v>
      </c>
      <c r="AG119">
        <f t="shared" si="16"/>
        <v>-7.2861139553983365E-2</v>
      </c>
      <c r="AJ119" s="2">
        <v>44927</v>
      </c>
      <c r="AK119" s="3">
        <v>35840000</v>
      </c>
      <c r="AL119">
        <f t="shared" si="17"/>
        <v>5.580636160714286E-4</v>
      </c>
      <c r="AO119" s="2">
        <v>44927</v>
      </c>
      <c r="AP119" s="3">
        <v>2070807861</v>
      </c>
      <c r="AQ119">
        <f t="shared" si="18"/>
        <v>0.1466914346429555</v>
      </c>
      <c r="AT119" s="2">
        <v>44927</v>
      </c>
      <c r="AU119" s="3">
        <v>177600006</v>
      </c>
      <c r="AV119">
        <f t="shared" si="19"/>
        <v>-4.7635172940253163E-2</v>
      </c>
    </row>
    <row r="120" spans="1:48" x14ac:dyDescent="0.3">
      <c r="A120" s="2">
        <v>44958</v>
      </c>
      <c r="B120" s="3">
        <v>147185272</v>
      </c>
      <c r="C120">
        <f t="shared" si="10"/>
        <v>0.12035662100756929</v>
      </c>
      <c r="F120" s="2">
        <v>44958</v>
      </c>
      <c r="G120" s="3">
        <v>79699997</v>
      </c>
      <c r="H120">
        <f t="shared" si="11"/>
        <v>0.14742786000355809</v>
      </c>
      <c r="K120" s="2">
        <v>44958</v>
      </c>
      <c r="L120" s="3">
        <v>349149994</v>
      </c>
      <c r="M120">
        <f t="shared" si="12"/>
        <v>-6.9785308373798802E-2</v>
      </c>
      <c r="P120" s="2">
        <v>44958</v>
      </c>
      <c r="Q120" s="3">
        <v>142233749</v>
      </c>
      <c r="R120">
        <f t="shared" si="13"/>
        <v>-9.0966181310456778E-2</v>
      </c>
      <c r="U120" s="2">
        <v>44958</v>
      </c>
      <c r="V120" s="3">
        <v>248796829</v>
      </c>
      <c r="W120">
        <f t="shared" si="14"/>
        <v>0.15877677846127211</v>
      </c>
      <c r="Z120" s="2">
        <v>44958</v>
      </c>
      <c r="AA120" s="3">
        <v>139792892</v>
      </c>
      <c r="AB120">
        <f t="shared" si="15"/>
        <v>4.7907392888044693E-2</v>
      </c>
      <c r="AE120" s="2">
        <v>44958</v>
      </c>
      <c r="AF120" s="3">
        <v>40570000</v>
      </c>
      <c r="AG120">
        <f t="shared" si="16"/>
        <v>5.6691890559526746E-3</v>
      </c>
      <c r="AJ120" s="2">
        <v>44958</v>
      </c>
      <c r="AK120" s="3">
        <v>35860001</v>
      </c>
      <c r="AL120">
        <f t="shared" si="17"/>
        <v>6.4138285997259181E-2</v>
      </c>
      <c r="AO120" s="2">
        <v>44958</v>
      </c>
      <c r="AP120" s="3">
        <v>2374577637</v>
      </c>
      <c r="AQ120">
        <f t="shared" si="18"/>
        <v>-6.900723499064941E-2</v>
      </c>
      <c r="AT120" s="2">
        <v>44958</v>
      </c>
      <c r="AU120" s="3">
        <v>169139999</v>
      </c>
      <c r="AV120">
        <f t="shared" si="19"/>
        <v>0.28591699944375665</v>
      </c>
    </row>
    <row r="121" spans="1:48" x14ac:dyDescent="0.3">
      <c r="A121" s="2">
        <v>44986</v>
      </c>
      <c r="B121" s="3">
        <v>164899994</v>
      </c>
      <c r="C121">
        <f>(B122-B121)/B121</f>
        <v>1.8800061326866998E-3</v>
      </c>
      <c r="F121" s="2">
        <v>44986</v>
      </c>
      <c r="G121" s="3">
        <v>91449997</v>
      </c>
      <c r="H121">
        <f>(G122-G121)/G121</f>
        <v>1.3121979654083531E-2</v>
      </c>
      <c r="K121" s="2">
        <v>44986</v>
      </c>
      <c r="L121" s="3">
        <v>324784454</v>
      </c>
      <c r="M121">
        <f>(L122-L121)/L121</f>
        <v>3.7364962671519987E-2</v>
      </c>
      <c r="P121" s="2">
        <v>44986</v>
      </c>
      <c r="Q121" s="3">
        <v>129295288</v>
      </c>
      <c r="R121">
        <f>(Q122-Q121)/Q121</f>
        <v>6.4615123483850387E-2</v>
      </c>
      <c r="U121" s="2">
        <v>44986</v>
      </c>
      <c r="V121" s="3">
        <v>288299988</v>
      </c>
      <c r="W121">
        <f>(V122-V121)/V121</f>
        <v>-7.4921022889532689E-3</v>
      </c>
      <c r="Z121" s="2">
        <v>44986</v>
      </c>
      <c r="AA121" s="3">
        <v>146490005</v>
      </c>
      <c r="AB121">
        <f>(AA122-AA121)/AA121</f>
        <v>2.1912703190910533E-2</v>
      </c>
      <c r="AE121" s="2">
        <v>44986</v>
      </c>
      <c r="AF121" s="3">
        <v>40799999</v>
      </c>
      <c r="AG121">
        <f>(AF122-AF121)/AF121</f>
        <v>9.5588237636966607E-3</v>
      </c>
      <c r="AJ121" s="2">
        <v>44986</v>
      </c>
      <c r="AK121" s="3">
        <v>38160000</v>
      </c>
      <c r="AL121">
        <f>(AK122-AK121)/AK121</f>
        <v>4.716978511530398E-2</v>
      </c>
      <c r="AO121" s="2">
        <v>44986</v>
      </c>
      <c r="AP121" s="3">
        <v>2210714600</v>
      </c>
      <c r="AQ121">
        <f>(AP122-AP121)/AP121</f>
        <v>3.631649241381045E-2</v>
      </c>
      <c r="AT121" s="2">
        <v>44986</v>
      </c>
      <c r="AU121" s="3">
        <v>217500000</v>
      </c>
      <c r="AV121">
        <f t="shared" si="19"/>
        <v>-2.8046022988505747E-3</v>
      </c>
    </row>
    <row r="122" spans="1:48" x14ac:dyDescent="0.3">
      <c r="A122" s="2">
        <v>45017</v>
      </c>
      <c r="B122" s="3">
        <v>165210007</v>
      </c>
      <c r="F122" s="2">
        <v>45017</v>
      </c>
      <c r="G122" s="3">
        <v>92650002</v>
      </c>
      <c r="K122" s="2">
        <v>45017</v>
      </c>
      <c r="L122" s="3">
        <v>336920013</v>
      </c>
      <c r="P122" s="2">
        <v>45017</v>
      </c>
      <c r="Q122" s="3">
        <v>137649719</v>
      </c>
      <c r="U122" s="2">
        <v>45017</v>
      </c>
      <c r="V122" s="3">
        <v>286140015</v>
      </c>
      <c r="Z122" s="2">
        <v>45017</v>
      </c>
      <c r="AA122" s="3">
        <v>149699997</v>
      </c>
      <c r="AE122" s="2">
        <v>45017</v>
      </c>
      <c r="AF122" s="3">
        <v>41189999</v>
      </c>
      <c r="AJ122" s="2">
        <v>45017</v>
      </c>
      <c r="AK122" s="3">
        <v>39959999</v>
      </c>
      <c r="AO122" s="2">
        <v>45017</v>
      </c>
      <c r="AP122" s="3">
        <v>2291000000</v>
      </c>
      <c r="AT122" s="2">
        <v>45017</v>
      </c>
      <c r="AU122" s="3">
        <v>216889999</v>
      </c>
    </row>
    <row r="123" spans="1:48" x14ac:dyDescent="0.3">
      <c r="A123" s="2"/>
      <c r="B123" s="3"/>
      <c r="F123" s="2"/>
      <c r="G123" s="3"/>
      <c r="K123" s="2"/>
      <c r="L123" s="3"/>
      <c r="P123" s="2"/>
      <c r="Q123" s="3"/>
      <c r="U123" s="2"/>
      <c r="V123" s="3"/>
      <c r="Z123" s="2"/>
      <c r="AA123" s="3"/>
      <c r="AE123" s="2"/>
      <c r="AF123" s="3"/>
      <c r="AJ123" s="2"/>
      <c r="AK123" s="3"/>
      <c r="AO123" s="2"/>
      <c r="AP123" s="3"/>
    </row>
    <row r="124" spans="1:48" x14ac:dyDescent="0.3">
      <c r="A124" s="2"/>
      <c r="B124" s="3"/>
      <c r="F124" s="2"/>
      <c r="G124" s="3"/>
      <c r="K124" s="2"/>
      <c r="L124" s="3"/>
      <c r="P124" s="2"/>
      <c r="Q124" s="3"/>
      <c r="U124" s="2"/>
      <c r="V124" s="3"/>
      <c r="Z124" s="2"/>
      <c r="AA124" s="3"/>
      <c r="AE124" s="2"/>
      <c r="AF124" s="3"/>
      <c r="AJ124" s="2"/>
      <c r="AK124" s="3"/>
      <c r="AO124" s="2"/>
      <c r="AP124" s="3"/>
    </row>
    <row r="125" spans="1:48" ht="43.2" x14ac:dyDescent="0.3">
      <c r="A125" s="2"/>
      <c r="B125" s="100" t="s">
        <v>12</v>
      </c>
      <c r="F125" s="2"/>
      <c r="G125" s="3"/>
      <c r="K125" s="2"/>
      <c r="L125" s="3"/>
      <c r="P125" s="2"/>
      <c r="Q125" s="3"/>
      <c r="U125" s="2"/>
      <c r="V125" s="3"/>
      <c r="Z125" s="2"/>
      <c r="AA125" s="3"/>
      <c r="AE125" s="2"/>
      <c r="AF125" s="3"/>
      <c r="AJ125" s="2"/>
      <c r="AK125" s="3"/>
      <c r="AO125" s="2"/>
      <c r="AP125" s="3"/>
    </row>
    <row r="126" spans="1:48" x14ac:dyDescent="0.3">
      <c r="A126" s="2"/>
      <c r="B126" s="98" t="s">
        <v>0</v>
      </c>
      <c r="C126" s="91" t="s">
        <v>17</v>
      </c>
      <c r="D126" s="91" t="s">
        <v>16</v>
      </c>
      <c r="E126" s="91" t="s">
        <v>1</v>
      </c>
      <c r="F126" s="99" t="s">
        <v>2</v>
      </c>
      <c r="G126" s="98" t="s">
        <v>4</v>
      </c>
      <c r="H126" s="91" t="s">
        <v>13</v>
      </c>
      <c r="I126" s="91" t="s">
        <v>5</v>
      </c>
      <c r="J126" s="91" t="s">
        <v>6</v>
      </c>
      <c r="K126" s="99" t="s">
        <v>7</v>
      </c>
      <c r="L126" s="3"/>
      <c r="P126" s="2"/>
      <c r="Q126" s="3"/>
      <c r="U126" s="2"/>
      <c r="V126" s="3"/>
      <c r="Z126" s="2"/>
      <c r="AA126" s="3"/>
      <c r="AE126" s="2"/>
      <c r="AF126" s="3"/>
      <c r="AJ126" s="2"/>
      <c r="AK126" s="3"/>
      <c r="AO126" s="2"/>
      <c r="AP126" s="3"/>
    </row>
    <row r="127" spans="1:48" x14ac:dyDescent="0.3">
      <c r="A127" s="99" t="s">
        <v>0</v>
      </c>
      <c r="B127" s="13">
        <f>COVAR((C3:C121),(C3:C121))</f>
        <v>6.5193315134180283E-3</v>
      </c>
      <c r="C127" s="5">
        <f>COVAR(H3:H121,C3:C121)</f>
        <v>2.6962465858318165E-3</v>
      </c>
      <c r="D127" s="5">
        <f>COVAR(M3:M121,C3:C121)</f>
        <v>2.7365098187564904E-3</v>
      </c>
      <c r="E127" s="5">
        <f>COVAR(R3:R121,C3:C121)</f>
        <v>1.5093531777363371E-3</v>
      </c>
      <c r="F127" s="5">
        <f>COVAR(W3:W121,C3:C121)</f>
        <v>2.671678717004185E-3</v>
      </c>
      <c r="G127" s="5">
        <f>COVAR(AG3:AG121,C3:C121)</f>
        <v>1.0845740533780889E-3</v>
      </c>
      <c r="H127" s="5">
        <f>COVAR(AB3:AB121,C3:C121)</f>
        <v>8.3063169529996037E-4</v>
      </c>
      <c r="I127" s="5">
        <f>COVAR(AL3:AL121,C3:C121)</f>
        <v>2.0480484132816487E-3</v>
      </c>
      <c r="J127" s="5">
        <f>COVAR(AQ3:AQ121,C3:C121)</f>
        <v>1.6541391183282979E-3</v>
      </c>
      <c r="K127" s="5">
        <f>COVAR((C3:C121),(AV3:AV121))</f>
        <v>3.9002786236243103E-3</v>
      </c>
      <c r="L127" s="3"/>
      <c r="P127" s="2"/>
      <c r="Q127" s="3"/>
      <c r="U127" s="2"/>
      <c r="V127" s="3"/>
      <c r="Z127" s="2"/>
      <c r="AA127" s="3"/>
      <c r="AE127" s="2"/>
      <c r="AF127" s="3"/>
      <c r="AJ127" s="2"/>
      <c r="AK127" s="3"/>
      <c r="AO127" s="2"/>
      <c r="AP127" s="3"/>
    </row>
    <row r="128" spans="1:48" x14ac:dyDescent="0.3">
      <c r="A128" s="99" t="s">
        <v>17</v>
      </c>
      <c r="B128" s="5">
        <f>COVAR(H3:H121,C3:C121)</f>
        <v>2.6962465858318165E-3</v>
      </c>
      <c r="C128" s="13">
        <f>COVAR(H3:H121,H3:H121)</f>
        <v>7.9632738922281836E-3</v>
      </c>
      <c r="D128" s="5">
        <f>COVAR(H3:H121,M3:M121)</f>
        <v>2.4359739402673988E-3</v>
      </c>
      <c r="E128" s="5">
        <f>COVAR(H3:H121,R3:R121)</f>
        <v>2.0351703585486654E-3</v>
      </c>
      <c r="F128" s="5">
        <f>COVAR(W3:W121,H3:H121)</f>
        <v>1.8832888473362837E-3</v>
      </c>
      <c r="G128" s="5">
        <f>COVAR(H3:H121,AG3:AG121)</f>
        <v>1.1034986434147298E-3</v>
      </c>
      <c r="H128" s="5">
        <f>COVAR(H3:H121,AB3:AB121)</f>
        <v>5.5703093107678341E-4</v>
      </c>
      <c r="I128" s="5">
        <f>COVAR(H3:H121,AL3:AL121)</f>
        <v>3.626258720316721E-3</v>
      </c>
      <c r="J128" s="5">
        <f>COVAR(H3:H121,AQ3:AQ121)</f>
        <v>1.9560923843086604E-3</v>
      </c>
      <c r="K128" s="5">
        <f>COVAR((H3:H121),(AV3:AV121))</f>
        <v>1.328068868617993E-3</v>
      </c>
      <c r="L128" s="6"/>
      <c r="P128" s="7"/>
      <c r="Q128" s="6"/>
      <c r="U128" s="2"/>
      <c r="V128" s="3"/>
      <c r="Z128" s="2"/>
      <c r="AA128" s="3"/>
      <c r="AE128" s="2"/>
      <c r="AF128" s="3"/>
      <c r="AJ128" s="2"/>
      <c r="AK128" s="3"/>
      <c r="AO128" s="2"/>
      <c r="AP128" s="3"/>
    </row>
    <row r="129" spans="1:42" x14ac:dyDescent="0.3">
      <c r="A129" s="99" t="s">
        <v>16</v>
      </c>
      <c r="B129" s="5">
        <f>COVAR(M3:M121,C3:C121)</f>
        <v>2.7365098187564904E-3</v>
      </c>
      <c r="C129" s="5">
        <f>COVAR(M3:M121,H3:H121)</f>
        <v>2.4359739402673988E-3</v>
      </c>
      <c r="D129" s="13">
        <f>COVAR(M3:M121,M3:M121)</f>
        <v>6.2094034971400891E-3</v>
      </c>
      <c r="E129" s="5">
        <f>COVAR(M3:M121,R3:R121)</f>
        <v>4.5453646217388302E-3</v>
      </c>
      <c r="F129" s="5">
        <f>COVAR(M3:M121,W3:W121)</f>
        <v>1.9755235406965135E-3</v>
      </c>
      <c r="G129" s="5">
        <f>COVAR(M3:M121,AG3:AG121)</f>
        <v>1.1789993216950573E-3</v>
      </c>
      <c r="H129" s="5">
        <f>COVAR(M3:M121,AB3:AB121)</f>
        <v>3.5617037248318422E-4</v>
      </c>
      <c r="I129" s="5">
        <f>COVAR(M3:M121,AL3:AL121)</f>
        <v>2.0916950817047694E-3</v>
      </c>
      <c r="J129" s="5">
        <f>COVAR(M3:M121,AQ3:AQ121)</f>
        <v>1.7302484395852337E-3</v>
      </c>
      <c r="K129" s="5">
        <f>COVAR((M3:M121),(AV3:AV121))</f>
        <v>2.9130318008172697E-3</v>
      </c>
      <c r="L129" s="3"/>
      <c r="P129" s="2"/>
      <c r="Q129" s="3"/>
      <c r="U129" s="2"/>
      <c r="V129" s="3"/>
      <c r="Z129" s="2"/>
      <c r="AA129" s="3"/>
      <c r="AE129" s="2"/>
      <c r="AF129" s="3"/>
      <c r="AJ129" s="2"/>
      <c r="AK129" s="3"/>
      <c r="AO129" s="2"/>
      <c r="AP129" s="3"/>
    </row>
    <row r="130" spans="1:42" x14ac:dyDescent="0.3">
      <c r="A130" s="99" t="s">
        <v>1</v>
      </c>
      <c r="B130" s="5">
        <f>COVAR(R3:R121,C3:C121)</f>
        <v>1.5093531777363371E-3</v>
      </c>
      <c r="C130" s="5">
        <f>COVAR(R3:R121,H3:H121)</f>
        <v>2.0351703585486654E-3</v>
      </c>
      <c r="D130" s="5">
        <f>COVAR(R3:R121,M3:M121)</f>
        <v>4.5453646217388302E-3</v>
      </c>
      <c r="E130" s="13">
        <f>COVAR(R3:R121,R3:R121)</f>
        <v>4.8037189882485969E-3</v>
      </c>
      <c r="F130" s="5">
        <f>COVAR(R3:R121,W3:W121)</f>
        <v>1.5263099344368133E-3</v>
      </c>
      <c r="G130" s="5">
        <f>COVAR(R3:R121,AG3:AG121)</f>
        <v>1.3561785593528921E-3</v>
      </c>
      <c r="H130" s="5">
        <f>COVAR(R3:R121,AB3:AB121)</f>
        <v>2.0596343559099966E-4</v>
      </c>
      <c r="I130" s="5">
        <f>COVAR(R3:R121,AL3:AL121)</f>
        <v>8.055460496440871E-4</v>
      </c>
      <c r="J130" s="5">
        <f>COVAR(R3:R121,AQ3:AQ121)</f>
        <v>1.1082172439013185E-3</v>
      </c>
      <c r="K130" s="5">
        <f>COVAR((R3:R121),(AV3:AV121))</f>
        <v>2.4817365788556136E-3</v>
      </c>
      <c r="L130" s="3"/>
      <c r="P130" s="2"/>
      <c r="Q130" s="3"/>
      <c r="U130" s="2"/>
      <c r="V130" s="3"/>
      <c r="Z130" s="2"/>
      <c r="AA130" s="3"/>
      <c r="AE130" s="2"/>
      <c r="AF130" s="3"/>
      <c r="AJ130" s="2"/>
      <c r="AK130" s="3"/>
      <c r="AO130" s="2"/>
      <c r="AP130" s="3"/>
    </row>
    <row r="131" spans="1:42" x14ac:dyDescent="0.3">
      <c r="A131" s="99" t="s">
        <v>2</v>
      </c>
      <c r="B131" s="5">
        <f>COVAR(W3:W121,C3:C121)</f>
        <v>2.671678717004185E-3</v>
      </c>
      <c r="C131" s="5">
        <f>COVAR(W3:W121,H3:H121)</f>
        <v>1.8832888473362837E-3</v>
      </c>
      <c r="D131" s="5">
        <f>COVAR(W3:W121,M3:M121)</f>
        <v>1.9755235406965135E-3</v>
      </c>
      <c r="E131" s="5">
        <f>COVAR(W3:W121,R3:R121)</f>
        <v>1.5263099344368133E-3</v>
      </c>
      <c r="F131" s="13">
        <f>COVAR(W3:W121,W3:W121)</f>
        <v>3.7257347040591873E-3</v>
      </c>
      <c r="G131" s="5">
        <f>COVAR(W3:W121,AG3:AG121)</f>
        <v>8.358032110076613E-4</v>
      </c>
      <c r="H131" s="5">
        <f>COVAR(W3:W121,AB3:AB121)</f>
        <v>7.5067891996010664E-4</v>
      </c>
      <c r="I131" s="5">
        <f>COVAR(W3:W121,AL3:AL121)</f>
        <v>6.7855125038007225E-4</v>
      </c>
      <c r="J131" s="5">
        <f>COVAR(W3:W121,AQ3:AQ121)</f>
        <v>8.8718876413875869E-4</v>
      </c>
      <c r="K131" s="5">
        <f>COVAR((W3:W121),(AV3:AV121))</f>
        <v>3.4766449752419537E-3</v>
      </c>
      <c r="L131" s="3"/>
      <c r="P131" s="2"/>
      <c r="Q131" s="3"/>
      <c r="U131" s="2"/>
      <c r="V131" s="3"/>
      <c r="Z131" s="2"/>
      <c r="AA131" s="3"/>
      <c r="AE131" s="2"/>
      <c r="AF131" s="3"/>
      <c r="AJ131" s="2"/>
      <c r="AK131" s="3"/>
      <c r="AO131" s="2"/>
      <c r="AP131" s="3"/>
    </row>
    <row r="132" spans="1:42" x14ac:dyDescent="0.3">
      <c r="A132" s="99" t="s">
        <v>4</v>
      </c>
      <c r="B132" s="5">
        <f>COVAR(AG3:AG121,C3:C121)</f>
        <v>1.0845740533780889E-3</v>
      </c>
      <c r="C132" s="5">
        <f>COVAR(AG3:AG121,H3:H121)</f>
        <v>1.1034986434147298E-3</v>
      </c>
      <c r="D132" s="5">
        <f>COVAR(AG3:AG121,M3:M121)</f>
        <v>1.1789993216950573E-3</v>
      </c>
      <c r="E132" s="5">
        <f>COVAR(AG3:AG121,R3:R121)</f>
        <v>1.3561785593528921E-3</v>
      </c>
      <c r="F132" s="5">
        <f>COVAR(AG3:AG121,W3:W121)</f>
        <v>8.358032110076613E-4</v>
      </c>
      <c r="G132" s="13">
        <f>COVAR(AG3:AG121,AG3:AG121)</f>
        <v>3.8312056504527583E-3</v>
      </c>
      <c r="H132" s="5">
        <f>COVAR(AG3:AG121,AB3:AB121)</f>
        <v>1.2465868534286102E-3</v>
      </c>
      <c r="I132" s="5">
        <f>COVAR(AG3:AG121,AL3:AL121)</f>
        <v>-6.0479574676497959E-5</v>
      </c>
      <c r="J132" s="5">
        <f>COVAR(AG3:AG121,AQ3:AQ121)</f>
        <v>-9.3026099262344863E-4</v>
      </c>
      <c r="K132" s="5">
        <f>COVAR((AG3:AG121),(AV3:AV121))</f>
        <v>5.9807192590821733E-4</v>
      </c>
      <c r="L132" s="3"/>
      <c r="P132" s="2"/>
      <c r="Q132" s="3"/>
      <c r="U132" s="2"/>
      <c r="V132" s="3"/>
      <c r="Z132" s="2"/>
      <c r="AA132" s="3"/>
      <c r="AE132" s="2"/>
      <c r="AF132" s="3"/>
      <c r="AJ132" s="2"/>
      <c r="AK132" s="3"/>
      <c r="AO132" s="2"/>
      <c r="AP132" s="3"/>
    </row>
    <row r="133" spans="1:42" x14ac:dyDescent="0.3">
      <c r="A133" s="99" t="s">
        <v>13</v>
      </c>
      <c r="B133" s="5">
        <f>COVAR(AB3:AB121,C3:C121)</f>
        <v>8.3063169529996037E-4</v>
      </c>
      <c r="C133" s="5">
        <f>COVAR(AB3:AB121,H3:H121)</f>
        <v>5.5703093107678341E-4</v>
      </c>
      <c r="D133" s="5">
        <f>COVAR(AB3:AB121,M3:M121)</f>
        <v>3.5617037248318422E-4</v>
      </c>
      <c r="E133" s="5">
        <f>COVAR(AB3:AB121,R3:R121)</f>
        <v>2.0596343559099966E-4</v>
      </c>
      <c r="F133" s="5">
        <f>COVAR(AB3:AB121,W3:W121)</f>
        <v>7.5067891996010664E-4</v>
      </c>
      <c r="G133" s="5">
        <f>COVAR(AB3:AB121,AG3:AG121)</f>
        <v>1.2465868534286102E-3</v>
      </c>
      <c r="H133" s="13">
        <f>COVAR(AB3:AB121,AB3:AB121)</f>
        <v>2.8918859277023809E-3</v>
      </c>
      <c r="I133" s="5">
        <f>COVAR(AB3:AB121,AL3:AL121)</f>
        <v>-5.5982310692278734E-4</v>
      </c>
      <c r="J133" s="5">
        <f>COVAR(AB3:AB121,AQ3:AQ121)</f>
        <v>-8.322607058940107E-4</v>
      </c>
      <c r="K133" s="5">
        <f>COVAR((AB3:AB121),(AV3:AV121))</f>
        <v>1.6543848255376888E-3</v>
      </c>
      <c r="O133" s="8"/>
      <c r="Q133" s="8"/>
      <c r="U133" s="2"/>
      <c r="V133" s="3"/>
      <c r="Z133" s="2"/>
      <c r="AA133" s="3"/>
      <c r="AE133" s="2"/>
      <c r="AF133" s="3"/>
      <c r="AJ133" s="2"/>
      <c r="AK133" s="3"/>
      <c r="AO133" s="2"/>
      <c r="AP133" s="3"/>
    </row>
    <row r="134" spans="1:42" x14ac:dyDescent="0.3">
      <c r="A134" s="99" t="s">
        <v>5</v>
      </c>
      <c r="B134" s="5">
        <f>COVAR(AL3:AL121,C3:C121)</f>
        <v>2.0480484132816487E-3</v>
      </c>
      <c r="C134" s="5">
        <f>COVAR(AL3:AL121,H3:H121)</f>
        <v>3.626258720316721E-3</v>
      </c>
      <c r="D134" s="5">
        <f>COVAR(AL3:AL121,M3:M121)</f>
        <v>2.0916950817047694E-3</v>
      </c>
      <c r="E134" s="5">
        <f>COVAR(AL3:AL121,R3:R121)</f>
        <v>8.055460496440871E-4</v>
      </c>
      <c r="F134" s="5">
        <f>COVAR(AL3:AL121,W3:W121)</f>
        <v>6.7855125038007225E-4</v>
      </c>
      <c r="G134" s="5">
        <f>COVAR(AL3:AL121,AG3:AG121)</f>
        <v>-6.0479574676497959E-5</v>
      </c>
      <c r="H134" s="5">
        <f>COVAR(AL3:AL121,AB3:AB121)</f>
        <v>-5.5982310692278734E-4</v>
      </c>
      <c r="I134" s="13">
        <f>COVAR(AL3:AL121,AL3:AL121)</f>
        <v>1.1320029492750884E-2</v>
      </c>
      <c r="J134" s="5">
        <f>COVAR(AL3:AL121,AQ3:AQ121)</f>
        <v>2.561488300893265E-3</v>
      </c>
      <c r="K134" s="5">
        <f>COVAR((AL3:AL121),(AV3:AV121))</f>
        <v>1.5467643123695337E-4</v>
      </c>
      <c r="O134" s="8"/>
      <c r="Q134" s="8"/>
      <c r="U134" s="2"/>
      <c r="V134" s="3"/>
      <c r="Z134" s="2"/>
      <c r="AA134" s="3"/>
      <c r="AE134" s="2"/>
      <c r="AF134" s="3"/>
      <c r="AJ134" s="2"/>
      <c r="AK134" s="3"/>
      <c r="AO134" s="2"/>
      <c r="AP134" s="3"/>
    </row>
    <row r="135" spans="1:42" x14ac:dyDescent="0.3">
      <c r="A135" s="99" t="s">
        <v>6</v>
      </c>
      <c r="B135" s="5">
        <f>COVAR(AQ3:AQ121,C3:C121)</f>
        <v>1.6541391183282979E-3</v>
      </c>
      <c r="C135" s="5">
        <f>COVAR(AQ3:AQ121,H3:H121)</f>
        <v>1.9560923843086604E-3</v>
      </c>
      <c r="D135" s="5">
        <f>COVAR(AQ3:AQ121,M3:M121)</f>
        <v>1.7302484395852337E-3</v>
      </c>
      <c r="E135" s="5">
        <f>COVAR(AQ3:AQ121,R3:R121)</f>
        <v>1.1082172439013185E-3</v>
      </c>
      <c r="F135" s="5">
        <f>COVAR(AQ3:AQ121,W3:W121)</f>
        <v>8.8718876413875869E-4</v>
      </c>
      <c r="G135" s="5">
        <f>COVAR(AQ3:AQ121,AG3:AG121)</f>
        <v>-9.3026099262344863E-4</v>
      </c>
      <c r="H135" s="5">
        <f>COVAR(AQ3:AQ121,AB3:AB121)</f>
        <v>-8.322607058940107E-4</v>
      </c>
      <c r="I135" s="5">
        <f>COVAR(AQ3:AQ121,AL3:AL121)</f>
        <v>2.561488300893265E-3</v>
      </c>
      <c r="J135" s="13">
        <f>COVAR(AQ3:AQ121,AQ3:AQ121)</f>
        <v>9.3913833633057133E-3</v>
      </c>
      <c r="K135" s="5">
        <f>COVAR((AQ3:AQ121),(AV3:AV121))</f>
        <v>4.9534915568241079E-5</v>
      </c>
      <c r="O135" s="8"/>
      <c r="Q135" s="8"/>
      <c r="U135" s="2"/>
      <c r="V135" s="3"/>
      <c r="Z135" s="2"/>
      <c r="AA135" s="3"/>
      <c r="AE135" s="2"/>
      <c r="AF135" s="3"/>
      <c r="AJ135" s="2"/>
      <c r="AK135" s="3"/>
      <c r="AO135" s="2"/>
      <c r="AP135" s="3"/>
    </row>
    <row r="136" spans="1:42" x14ac:dyDescent="0.3">
      <c r="A136" s="99" t="s">
        <v>7</v>
      </c>
      <c r="B136" s="5">
        <f>COVAR(AV3:AV121,C3:C121)</f>
        <v>3.9002786236243103E-3</v>
      </c>
      <c r="C136" s="5">
        <f>COVAR(AV3:AV121,H3:H121)</f>
        <v>1.328068868617993E-3</v>
      </c>
      <c r="D136" s="5">
        <f>COVAR(AV3:AV121,M3:M121)</f>
        <v>2.9130318008172697E-3</v>
      </c>
      <c r="E136" s="5">
        <f>COVAR(AV3:AV121,R3:R121)</f>
        <v>2.4817365788556136E-3</v>
      </c>
      <c r="F136" s="5">
        <f>COVAR(AV3:AV121,W3:W121)</f>
        <v>3.4766449752419537E-3</v>
      </c>
      <c r="G136" s="5">
        <f>COVAR(AV3:AV121,AG3:AG121)</f>
        <v>5.9807192590821733E-4</v>
      </c>
      <c r="H136" s="5">
        <f>COVAR(AV3:AV121,AB3:AB121)</f>
        <v>1.6543848255376888E-3</v>
      </c>
      <c r="I136" s="5">
        <f>COVAR(AV3:AV121,AL3:AL121)</f>
        <v>1.5467643123695337E-4</v>
      </c>
      <c r="J136" s="5">
        <f>COVAR(AV3:AV121,AQ3:AQ121)</f>
        <v>4.9534915568241079E-5</v>
      </c>
      <c r="K136" s="13">
        <f>COVAR((AV3:AV121),(AV3:AV121))</f>
        <v>2.0842490773238641E-2</v>
      </c>
      <c r="O136" s="8"/>
      <c r="Q136" s="8"/>
      <c r="U136" s="2"/>
      <c r="V136" s="3"/>
      <c r="Z136" s="2"/>
      <c r="AA136" s="3"/>
      <c r="AE136" s="2"/>
      <c r="AF136" s="3"/>
      <c r="AJ136" s="2"/>
      <c r="AK136" s="3"/>
      <c r="AO136" s="2"/>
      <c r="AP136" s="3"/>
    </row>
    <row r="137" spans="1:42" x14ac:dyDescent="0.3">
      <c r="A137" s="2"/>
      <c r="B137" s="9"/>
      <c r="F137" s="8"/>
      <c r="G137" s="10"/>
      <c r="J137" s="11"/>
      <c r="K137" s="9"/>
      <c r="O137" s="8"/>
      <c r="Q137" s="8"/>
      <c r="U137" s="2"/>
      <c r="V137" s="3"/>
      <c r="Z137" s="2"/>
      <c r="AA137" s="3"/>
      <c r="AE137" s="2"/>
      <c r="AF137" s="3"/>
      <c r="AJ137" s="2"/>
      <c r="AK137" s="3"/>
      <c r="AO137" s="2"/>
      <c r="AP137" s="3"/>
    </row>
    <row r="138" spans="1:42" x14ac:dyDescent="0.3">
      <c r="A138" s="2"/>
      <c r="B138" s="9"/>
      <c r="F138" s="8"/>
      <c r="G138" s="10"/>
      <c r="J138" s="11"/>
      <c r="K138" s="9"/>
      <c r="O138" s="8"/>
      <c r="Q138" s="8"/>
      <c r="U138" s="2"/>
      <c r="V138" s="3"/>
      <c r="Z138" s="2"/>
      <c r="AA138" s="3"/>
      <c r="AE138" s="2"/>
      <c r="AF138" s="3"/>
      <c r="AJ138" s="2"/>
      <c r="AK138" s="3"/>
      <c r="AO138" s="2"/>
      <c r="AP138" s="3"/>
    </row>
    <row r="139" spans="1:42" ht="28.8" x14ac:dyDescent="0.3">
      <c r="A139" s="2"/>
      <c r="B139" s="101" t="s">
        <v>14</v>
      </c>
      <c r="F139" s="8"/>
      <c r="G139" s="10"/>
      <c r="J139" s="11"/>
      <c r="K139" s="9"/>
      <c r="O139" s="8"/>
      <c r="Q139" s="8"/>
      <c r="U139" s="2"/>
      <c r="V139" s="3"/>
      <c r="Z139" s="2"/>
      <c r="AA139" s="3"/>
      <c r="AE139" s="2"/>
      <c r="AF139" s="3"/>
      <c r="AJ139" s="2"/>
      <c r="AK139" s="3"/>
      <c r="AO139" s="2"/>
      <c r="AP139" s="3"/>
    </row>
    <row r="140" spans="1:42" x14ac:dyDescent="0.3">
      <c r="A140" s="2"/>
      <c r="B140" s="9"/>
      <c r="F140" s="8"/>
      <c r="G140" s="10"/>
      <c r="J140" s="11"/>
      <c r="K140" s="9"/>
      <c r="O140" s="8"/>
      <c r="Q140" s="8"/>
      <c r="U140" s="2"/>
      <c r="V140" s="3"/>
      <c r="Z140" s="2"/>
      <c r="AA140" s="3"/>
      <c r="AE140" s="2"/>
      <c r="AF140" s="3"/>
      <c r="AJ140" s="2"/>
      <c r="AK140" s="3"/>
      <c r="AO140" s="2"/>
      <c r="AP140" s="3"/>
    </row>
    <row r="141" spans="1:42" x14ac:dyDescent="0.3">
      <c r="A141" s="2"/>
      <c r="B141" s="95" t="s">
        <v>0</v>
      </c>
      <c r="C141" s="93" t="s">
        <v>17</v>
      </c>
      <c r="D141" s="93" t="s">
        <v>16</v>
      </c>
      <c r="E141" s="93" t="s">
        <v>1</v>
      </c>
      <c r="F141" s="96" t="s">
        <v>2</v>
      </c>
      <c r="G141" s="97" t="s">
        <v>4</v>
      </c>
      <c r="H141" s="93" t="s">
        <v>13</v>
      </c>
      <c r="I141" s="93" t="s">
        <v>5</v>
      </c>
      <c r="J141" s="93" t="s">
        <v>6</v>
      </c>
      <c r="K141" s="95" t="s">
        <v>7</v>
      </c>
      <c r="O141" s="8"/>
      <c r="Q141" s="8"/>
      <c r="U141" s="2"/>
      <c r="V141" s="3"/>
      <c r="Z141" s="2"/>
      <c r="AA141" s="3"/>
      <c r="AE141" s="2"/>
      <c r="AF141" s="3"/>
      <c r="AJ141" s="2"/>
      <c r="AK141" s="3"/>
      <c r="AO141" s="2"/>
      <c r="AP141" s="3"/>
    </row>
    <row r="142" spans="1:42" x14ac:dyDescent="0.3">
      <c r="A142" s="94" t="s">
        <v>0</v>
      </c>
      <c r="B142" s="4">
        <f>CORREL(C3:C121,C3:C121)</f>
        <v>1</v>
      </c>
      <c r="C142" s="5">
        <f>CORREL(H3:H121,C3:C121)</f>
        <v>0.37420729413409204</v>
      </c>
      <c r="D142" s="5">
        <f>CORREL(M3:M121,C3:C121)</f>
        <v>0.43010108375265843</v>
      </c>
      <c r="E142" s="5">
        <f>CORREL(R3:R121,C3:C121)</f>
        <v>0.26971217026448058</v>
      </c>
      <c r="F142" s="5">
        <f>CORREL(W3:W121,C3:C121)</f>
        <v>0.54209666354735442</v>
      </c>
      <c r="G142" s="5">
        <f>CORREL(AG3:AG121,C3:C121)</f>
        <v>0.217015095987378</v>
      </c>
      <c r="H142" s="5">
        <f>CORREL(AB3:AB121,C3:C121)</f>
        <v>0.19130062417404745</v>
      </c>
      <c r="I142" s="5">
        <f>CORREL(AL3:AL121,C3:C121)</f>
        <v>0.2384047513318536</v>
      </c>
      <c r="J142" s="5">
        <f>CORREL(AQ3:AQ121,C3:C121)</f>
        <v>0.21140035623257122</v>
      </c>
      <c r="K142" s="5">
        <f>CORREL(C3:C121,AV3:AV121)</f>
        <v>0.3345948798658675</v>
      </c>
      <c r="O142" s="8"/>
      <c r="Q142" s="8"/>
      <c r="U142" s="2"/>
      <c r="V142" s="3"/>
      <c r="Z142" s="2"/>
      <c r="AA142" s="3"/>
      <c r="AE142" s="2"/>
      <c r="AF142" s="3"/>
      <c r="AJ142" s="2"/>
      <c r="AK142" s="3"/>
      <c r="AO142" s="2"/>
      <c r="AP142" s="3"/>
    </row>
    <row r="143" spans="1:42" x14ac:dyDescent="0.3">
      <c r="A143" s="94" t="s">
        <v>17</v>
      </c>
      <c r="B143" s="5">
        <f>CORREL(H3:H121,C3:C121)</f>
        <v>0.37420729413409204</v>
      </c>
      <c r="C143" s="4">
        <f>CORREL(H3:H121,H3:H121)</f>
        <v>1</v>
      </c>
      <c r="D143" s="5">
        <f>CORREL(H3:H121,M3:M121)</f>
        <v>0.34641913293552717</v>
      </c>
      <c r="E143" s="5">
        <f>CORREL(H3:H121,R3:R121)</f>
        <v>0.32905322010899629</v>
      </c>
      <c r="F143" s="5">
        <f>CORREL(H3:H121,W3:W121)</f>
        <v>0.3457523529864967</v>
      </c>
      <c r="G143" s="5">
        <f>CORREL(H3:H121,AG3:AG121)</f>
        <v>0.19978286859163086</v>
      </c>
      <c r="H143" s="5">
        <f>CORREL(H3:H121,AB3:AB121)</f>
        <v>0.11607612618525319</v>
      </c>
      <c r="I143" s="5">
        <f>CORREL(H3:H121,AL3:AL121)</f>
        <v>0.38193475553600453</v>
      </c>
      <c r="J143" s="5">
        <f>CORREL(H3:H121,AQ3:AQ121)</f>
        <v>0.22619278664011974</v>
      </c>
      <c r="K143" s="5">
        <f>CORREL(H3:H121,AV3:AV121)</f>
        <v>0.10308606472056263</v>
      </c>
      <c r="O143" s="8"/>
      <c r="Q143" s="8"/>
      <c r="V143" s="2"/>
      <c r="W143" s="3"/>
      <c r="AA143" s="2"/>
      <c r="AB143" s="3"/>
      <c r="AF143" s="2"/>
      <c r="AG143" s="3"/>
    </row>
    <row r="144" spans="1:42" x14ac:dyDescent="0.3">
      <c r="A144" s="94" t="s">
        <v>16</v>
      </c>
      <c r="B144" s="5">
        <f>CORREL(M3:M121,C3:C121)</f>
        <v>0.43010108375265843</v>
      </c>
      <c r="C144" s="5">
        <f>CORREL(M3:M121,H3:H121)</f>
        <v>0.34641913293552717</v>
      </c>
      <c r="D144" s="4">
        <f>CORREL(M3:M121,M3:M121)</f>
        <v>1.0000000000000002</v>
      </c>
      <c r="E144" s="5">
        <f>CORREL(M3:M121,R3:R121)</f>
        <v>0.83225227214061348</v>
      </c>
      <c r="F144" s="5">
        <f>CORREL(M3:M121,W3:W121)</f>
        <v>0.41072515733431275</v>
      </c>
      <c r="G144" s="5">
        <f>CORREL(M3:M121,AG3:AG121)</f>
        <v>0.24172461767265666</v>
      </c>
      <c r="H144" s="5">
        <f>CORREL(M3:M121,AB3:AB121)</f>
        <v>8.40508811118304E-2</v>
      </c>
      <c r="I144" s="5">
        <f>CORREL(M3:M121,AL3:AL121)</f>
        <v>0.24948799629416873</v>
      </c>
      <c r="J144" s="5">
        <f>CORREL(M3:M121,AQ3:AQ121)</f>
        <v>0.22657852262839787</v>
      </c>
      <c r="K144" s="5">
        <f>CORREL(M3:M121,AV3:AV121)</f>
        <v>0.25606220196578983</v>
      </c>
      <c r="O144" s="8"/>
      <c r="R144" s="11"/>
      <c r="V144" s="2"/>
      <c r="W144" s="3"/>
      <c r="AA144" s="2"/>
      <c r="AB144" s="3"/>
      <c r="AF144" s="2"/>
      <c r="AG144" s="3"/>
    </row>
    <row r="145" spans="1:42" x14ac:dyDescent="0.3">
      <c r="A145" s="94" t="s">
        <v>1</v>
      </c>
      <c r="B145" s="5">
        <f>CORREL(R3:R121,C3:C121)</f>
        <v>0.26971217026448058</v>
      </c>
      <c r="C145" s="5">
        <f>CORREL(R3:R121,H3:H121)</f>
        <v>0.32905322010899629</v>
      </c>
      <c r="D145" s="5">
        <f>CORREL(R3:R121,M3:M121)</f>
        <v>0.83225227214061348</v>
      </c>
      <c r="E145" s="4">
        <f>CORREL(R3:R121,R3:R121)</f>
        <v>0.99999999999999978</v>
      </c>
      <c r="F145" s="5">
        <f>CORREL(R3:R121,W3:W121)</f>
        <v>0.36078458254898732</v>
      </c>
      <c r="G145" s="5">
        <f>CORREL(R3:R121,AG3:AG121)</f>
        <v>0.3161260937192017</v>
      </c>
      <c r="H145" s="5">
        <f>CORREL(R3:R121,AB3:AB121)</f>
        <v>5.5259983594611865E-2</v>
      </c>
      <c r="I145" s="5">
        <f>CORREL(R3:R121,AL3:AL121)</f>
        <v>0.10923902020432617</v>
      </c>
      <c r="J145" s="5">
        <f>CORREL(R3:R121,AQ3:AQ121)</f>
        <v>0.16499520457885611</v>
      </c>
      <c r="K145" s="5">
        <f>CORREL(R3:R121,AV3:AV121)</f>
        <v>0.24802306841564059</v>
      </c>
      <c r="M145" s="2"/>
      <c r="N145" s="3"/>
      <c r="Q145" s="2"/>
      <c r="R145" s="3"/>
      <c r="V145" s="2"/>
      <c r="W145" s="3"/>
      <c r="AA145" s="2"/>
      <c r="AB145" s="3"/>
      <c r="AF145" s="2"/>
      <c r="AG145" s="3"/>
    </row>
    <row r="146" spans="1:42" x14ac:dyDescent="0.3">
      <c r="A146" s="94" t="s">
        <v>2</v>
      </c>
      <c r="B146" s="5">
        <f>CORREL(W3:W121,C3:C121)</f>
        <v>0.54209666354735442</v>
      </c>
      <c r="C146" s="5">
        <f>CORREL(W3:W121,H3:H121)</f>
        <v>0.3457523529864967</v>
      </c>
      <c r="D146" s="5">
        <f>CORREL(W3:W121,M3:M121)</f>
        <v>0.41072515733431275</v>
      </c>
      <c r="E146" s="5">
        <f>CORREL(W3:W121,R3:R121)</f>
        <v>0.36078458254898732</v>
      </c>
      <c r="F146" s="4">
        <f>CORREL(W3:W121,W3:W121)</f>
        <v>1.0000000000000002</v>
      </c>
      <c r="G146" s="5">
        <f>CORREL(W3:W121,AG3:AG121)</f>
        <v>0.2212230315610442</v>
      </c>
      <c r="H146" s="5">
        <f>CORREL(W3:W121,AB3:AB121)</f>
        <v>0.22869553095805004</v>
      </c>
      <c r="I146" s="5">
        <f>CORREL(W3:W121,AL3:AL121)</f>
        <v>0.10448475107125835</v>
      </c>
      <c r="J146" s="5">
        <f>CORREL(W3:W121,AQ3:AQ121)</f>
        <v>0.14998412192517338</v>
      </c>
      <c r="K146" s="5">
        <f>CORREL(W3:W121,AV3:AV121)</f>
        <v>0.39452958126525839</v>
      </c>
      <c r="M146" s="2"/>
      <c r="N146" s="3"/>
      <c r="Q146" s="2"/>
      <c r="R146" s="3"/>
      <c r="V146" s="2"/>
      <c r="W146" s="3"/>
      <c r="AA146" s="2"/>
      <c r="AB146" s="3"/>
      <c r="AF146" s="2"/>
      <c r="AG146" s="3"/>
    </row>
    <row r="147" spans="1:42" x14ac:dyDescent="0.3">
      <c r="A147" s="94" t="s">
        <v>4</v>
      </c>
      <c r="B147" s="5">
        <f>CORREL(AG3:AG121,C3:C121)</f>
        <v>0.217015095987378</v>
      </c>
      <c r="C147" s="5">
        <f>CORREL(AG3:AG121,H3:H121)</f>
        <v>0.19978286859163086</v>
      </c>
      <c r="D147" s="5">
        <f>CORREL(AG3:AG121,M3:M121)</f>
        <v>0.24172461767265666</v>
      </c>
      <c r="E147" s="5">
        <f>CORREL(AG3:AG121,R3:R121)</f>
        <v>0.3161260937192017</v>
      </c>
      <c r="F147" s="5">
        <f>CORREL(AG3:AG121,W3:W121)</f>
        <v>0.2212230315610442</v>
      </c>
      <c r="G147" s="4">
        <f>CORREL(AG3:AG121,AG3:AG121)</f>
        <v>1.0000000000000002</v>
      </c>
      <c r="H147" s="5">
        <f>CORREL(AG3:AG121,AB3:AB121)</f>
        <v>0.37451070083691373</v>
      </c>
      <c r="I147" s="5">
        <f>CORREL(AG3:AG121,AL3:AL121)</f>
        <v>-9.1836900294924723E-3</v>
      </c>
      <c r="J147" s="5">
        <f>CORREL(AG3:AG121,AQ3:AQ121)</f>
        <v>-0.1550858925396579</v>
      </c>
      <c r="K147" s="5">
        <f>CORREL(AG3:AG121,AV3:AV121)</f>
        <v>6.6928466670598624E-2</v>
      </c>
      <c r="M147" s="2"/>
      <c r="N147" s="3"/>
      <c r="Q147" s="2"/>
      <c r="R147" s="3"/>
      <c r="V147" s="2"/>
      <c r="W147" s="3"/>
      <c r="AA147" s="2"/>
      <c r="AB147" s="3"/>
      <c r="AF147" s="2"/>
      <c r="AG147" s="3"/>
    </row>
    <row r="148" spans="1:42" x14ac:dyDescent="0.3">
      <c r="A148" s="94" t="s">
        <v>13</v>
      </c>
      <c r="B148" s="5">
        <f>CORREL(AB3:AB121,C3:C121)</f>
        <v>0.19130062417404745</v>
      </c>
      <c r="C148" s="5">
        <f>CORREL(AB3:AB121,H3:H121)</f>
        <v>0.11607612618525319</v>
      </c>
      <c r="D148" s="5">
        <f>CORREL(AB3:AB121,M3:M121)</f>
        <v>8.40508811118304E-2</v>
      </c>
      <c r="E148" s="5">
        <f>CORREL(AB3:AB121,R3:R121)</f>
        <v>5.5259983594611865E-2</v>
      </c>
      <c r="F148" s="5">
        <f>CORREL(AB3:AB121,W3:W121)</f>
        <v>0.22869553095805004</v>
      </c>
      <c r="G148" s="5">
        <f>CORREL(AB3:AB121,AG3:AG121)</f>
        <v>0.37451070083691373</v>
      </c>
      <c r="H148" s="4">
        <f>CORREL(AB3:AB121,AB3:AB121)</f>
        <v>1.0000000000000002</v>
      </c>
      <c r="I148" s="5">
        <f>CORREL(AB3:AB121,AL3:AL121)</f>
        <v>-9.7844509859611142E-2</v>
      </c>
      <c r="J148" s="5">
        <f>CORREL(AB3:AB121,AQ3:AQ121)</f>
        <v>-0.15969967301914711</v>
      </c>
      <c r="K148" s="5">
        <f>CORREL(AB3:AB121,AV3:AV121)</f>
        <v>0.21309396487189855</v>
      </c>
      <c r="M148" s="2"/>
      <c r="N148" s="3"/>
      <c r="Q148" s="2"/>
      <c r="R148" s="3"/>
      <c r="V148" s="2"/>
      <c r="W148" s="3"/>
      <c r="AA148" s="2"/>
      <c r="AB148" s="3"/>
      <c r="AF148" s="2"/>
      <c r="AG148" s="3"/>
    </row>
    <row r="149" spans="1:42" x14ac:dyDescent="0.3">
      <c r="A149" s="94" t="s">
        <v>5</v>
      </c>
      <c r="B149" s="5">
        <f>CORREL(AL3:AL121,C3:C121)</f>
        <v>0.2384047513318536</v>
      </c>
      <c r="C149" s="5">
        <f>CORREL(AL3:AL121,H3:H121)</f>
        <v>0.38193475553600453</v>
      </c>
      <c r="D149" s="5">
        <f>CORREL(AL3:AL121,M3:M121)</f>
        <v>0.24948799629416873</v>
      </c>
      <c r="E149" s="5">
        <f>CORREL(AL3:AL121,R3:R121)</f>
        <v>0.10923902020432617</v>
      </c>
      <c r="F149" s="5">
        <f>CORREL(AL3:AL121,W3:W121)</f>
        <v>0.10448475107125835</v>
      </c>
      <c r="G149" s="5">
        <f>CORREL(AL3:AL121,AG3:AG121)</f>
        <v>-9.1836900294924723E-3</v>
      </c>
      <c r="H149" s="5">
        <f>CORREL(AL3:AL121,AB3:AB121)</f>
        <v>-9.7844509859611142E-2</v>
      </c>
      <c r="I149" s="4">
        <f>CORREL(AL3:AL121,AL3:AL121)</f>
        <v>1</v>
      </c>
      <c r="J149" s="5">
        <f>CORREL(AL3:AL121,AQ3:AQ121)</f>
        <v>0.24842987046764925</v>
      </c>
      <c r="K149" s="5">
        <f>CORREL(AL3:AL121,AV3:AV121)</f>
        <v>1.0069909213889864E-2</v>
      </c>
      <c r="M149" s="2"/>
      <c r="N149" s="3"/>
      <c r="Q149" s="2"/>
      <c r="R149" s="3"/>
      <c r="V149" s="2"/>
      <c r="W149" s="3"/>
      <c r="AA149" s="2"/>
      <c r="AB149" s="3"/>
      <c r="AF149" s="2"/>
      <c r="AG149" s="3"/>
    </row>
    <row r="150" spans="1:42" x14ac:dyDescent="0.3">
      <c r="A150" s="94" t="s">
        <v>6</v>
      </c>
      <c r="B150" s="5">
        <f>CORREL(AQ3:AQ121,C3:C121)</f>
        <v>0.21140035623257122</v>
      </c>
      <c r="C150" s="5">
        <f>CORREL(AQ3:AQ121,H3:H121)</f>
        <v>0.22619278664011974</v>
      </c>
      <c r="D150" s="5">
        <f>CORREL(AQ3:AQ121,M3:M121)</f>
        <v>0.22657852262839787</v>
      </c>
      <c r="E150" s="5">
        <f>CORREL(AQ3:AQ121,R3:R121)</f>
        <v>0.16499520457885611</v>
      </c>
      <c r="F150" s="5">
        <f>CORREL(AQ3:AQ121,W3:W121)</f>
        <v>0.14998412192517338</v>
      </c>
      <c r="G150" s="5">
        <f>CORREL(AQ3:AQ121,AG3:AG121)</f>
        <v>-0.1550858925396579</v>
      </c>
      <c r="H150" s="5">
        <f>CORREL(AQ3:AQ121,AB3:AB121)</f>
        <v>-0.15969967301914711</v>
      </c>
      <c r="I150" s="5">
        <f>CORREL(AQ3:AQ121,AL3:AL121)</f>
        <v>0.24842987046764925</v>
      </c>
      <c r="J150" s="4">
        <f>CORREL(AQ3:AQ121,AQ3:AQ121)</f>
        <v>0.99999999999999978</v>
      </c>
      <c r="K150" s="5">
        <f>CORREL(AQ3:AQ121,AV3:AV121)</f>
        <v>3.5405589810366929E-3</v>
      </c>
      <c r="M150" s="2"/>
      <c r="N150" s="3"/>
      <c r="Q150" s="2"/>
      <c r="R150" s="3"/>
      <c r="V150" s="2"/>
      <c r="W150" s="3"/>
      <c r="AA150" s="2"/>
      <c r="AB150" s="3"/>
      <c r="AF150" s="2"/>
      <c r="AG150" s="3"/>
    </row>
    <row r="151" spans="1:42" x14ac:dyDescent="0.3">
      <c r="A151" s="94" t="s">
        <v>7</v>
      </c>
      <c r="B151" s="5">
        <f>CORREL(AV3:AV121,C3:C121)</f>
        <v>0.3345948798658675</v>
      </c>
      <c r="C151" s="5">
        <f>CORREL(AV3:AV121,H3:H121)</f>
        <v>0.10308606472056263</v>
      </c>
      <c r="D151" s="5">
        <f>CORREL(AV3:AV121,M3:M121)</f>
        <v>0.25606220196578983</v>
      </c>
      <c r="E151" s="5">
        <f>CORREL(AV3:AV121,R3:R121)</f>
        <v>0.24802306841564059</v>
      </c>
      <c r="F151" s="5">
        <f>CORREL(AV3:AV121,W3:W121)</f>
        <v>0.39452958126525839</v>
      </c>
      <c r="G151" s="5">
        <f>CORREL(AV3:AV121,AG3:AG121)</f>
        <v>6.6928466670598624E-2</v>
      </c>
      <c r="H151" s="5">
        <f>CORREL(AV3:AV121,AB3:AB121)</f>
        <v>0.21309396487189855</v>
      </c>
      <c r="I151" s="5">
        <f>CORREL(AV3:AV121,AL3:AL121)</f>
        <v>1.0069909213889864E-2</v>
      </c>
      <c r="J151" s="5">
        <f>CORREL(AV3:AV121,AQ3:AQ121)</f>
        <v>3.5405589810366929E-3</v>
      </c>
      <c r="K151" s="4">
        <f>CORREL(AV3:AV121,AV3:AV121)</f>
        <v>1.0000000000000002</v>
      </c>
      <c r="M151" s="2"/>
      <c r="N151" s="3"/>
      <c r="Q151" s="2"/>
      <c r="R151" s="3"/>
      <c r="V151" s="2"/>
      <c r="W151" s="3"/>
      <c r="AA151" s="2"/>
      <c r="AB151" s="3"/>
      <c r="AF151" s="2"/>
      <c r="AG151" s="3"/>
    </row>
    <row r="152" spans="1:42" x14ac:dyDescent="0.3">
      <c r="A152" s="2"/>
      <c r="B152" s="9"/>
      <c r="F152" s="8"/>
      <c r="G152" s="10"/>
      <c r="K152" s="2"/>
      <c r="L152" s="3"/>
      <c r="P152" s="2"/>
      <c r="Q152" s="3"/>
      <c r="U152" s="2"/>
      <c r="V152" s="3"/>
      <c r="Z152" s="2"/>
      <c r="AA152" s="3"/>
      <c r="AE152" s="2"/>
      <c r="AF152" s="3"/>
      <c r="AJ152" s="2"/>
      <c r="AK152" s="3"/>
      <c r="AO152" s="2"/>
      <c r="AP152" s="3"/>
    </row>
    <row r="153" spans="1:42" x14ac:dyDescent="0.3">
      <c r="A153" s="2"/>
      <c r="B153" s="9"/>
      <c r="F153" s="8"/>
      <c r="G153" s="10"/>
      <c r="K153" s="2"/>
      <c r="L153" s="3"/>
      <c r="P153" s="2"/>
      <c r="Q153" s="3"/>
      <c r="U153" s="2"/>
      <c r="V153" s="3"/>
      <c r="Z153" s="2"/>
      <c r="AA153" s="3"/>
      <c r="AE153" s="2"/>
      <c r="AF153" s="3"/>
      <c r="AJ153" s="2"/>
      <c r="AK153" s="3"/>
      <c r="AO153" s="2"/>
      <c r="AP153" s="3"/>
    </row>
    <row r="154" spans="1:42" x14ac:dyDescent="0.3">
      <c r="A154" s="2"/>
      <c r="B154" s="9"/>
      <c r="F154" s="8"/>
      <c r="G154" s="10"/>
    </row>
    <row r="155" spans="1:42" x14ac:dyDescent="0.3">
      <c r="A155" s="2"/>
      <c r="B155" s="9"/>
      <c r="F155" s="8"/>
      <c r="G155" s="10"/>
    </row>
    <row r="156" spans="1:42" x14ac:dyDescent="0.3">
      <c r="A156" s="2"/>
      <c r="B156" s="9"/>
      <c r="F156" s="8"/>
      <c r="G156" s="10"/>
    </row>
    <row r="157" spans="1:42" x14ac:dyDescent="0.3">
      <c r="A157" s="2"/>
      <c r="B157" s="9"/>
      <c r="F157" s="8"/>
      <c r="G157" s="10"/>
    </row>
    <row r="158" spans="1:42" x14ac:dyDescent="0.3">
      <c r="A158" s="2"/>
      <c r="B158" s="9"/>
      <c r="F158" s="8"/>
      <c r="G158" s="10"/>
    </row>
    <row r="159" spans="1:42" x14ac:dyDescent="0.3">
      <c r="A159" s="2"/>
      <c r="B159" s="9"/>
      <c r="F159" s="8"/>
      <c r="G159" s="10"/>
    </row>
    <row r="160" spans="1:42" x14ac:dyDescent="0.3">
      <c r="A160" s="2"/>
      <c r="B160" s="9"/>
      <c r="F160" s="8"/>
      <c r="G160" s="10"/>
    </row>
    <row r="161" spans="1:7" x14ac:dyDescent="0.3">
      <c r="A161" s="2"/>
      <c r="B161" s="9"/>
      <c r="F161" s="8"/>
      <c r="G161" s="10"/>
    </row>
    <row r="162" spans="1:7" x14ac:dyDescent="0.3">
      <c r="A162" s="2"/>
      <c r="B162" s="9"/>
      <c r="F162" s="8"/>
      <c r="G162" s="10"/>
    </row>
    <row r="163" spans="1:7" x14ac:dyDescent="0.3">
      <c r="A163" s="2"/>
      <c r="B163" s="9"/>
      <c r="F163" s="8"/>
      <c r="G163" s="10"/>
    </row>
    <row r="164" spans="1:7" x14ac:dyDescent="0.3">
      <c r="A164" s="2"/>
      <c r="B164" s="9"/>
      <c r="F164" s="8"/>
      <c r="G164" s="10"/>
    </row>
    <row r="165" spans="1:7" x14ac:dyDescent="0.3">
      <c r="A165" s="2"/>
      <c r="B165" s="9"/>
      <c r="F165" s="8"/>
      <c r="G165" s="10"/>
    </row>
    <row r="166" spans="1:7" x14ac:dyDescent="0.3">
      <c r="A166" s="2"/>
      <c r="B166" s="9"/>
      <c r="F166" s="8"/>
      <c r="G166" s="10"/>
    </row>
    <row r="167" spans="1:7" x14ac:dyDescent="0.3">
      <c r="A167" s="2"/>
      <c r="B167" s="9"/>
      <c r="F167" s="8"/>
      <c r="G167" s="10"/>
    </row>
    <row r="168" spans="1:7" x14ac:dyDescent="0.3">
      <c r="A168" s="2"/>
      <c r="B168" s="9"/>
      <c r="F168" s="8"/>
      <c r="G168" s="10"/>
    </row>
    <row r="169" spans="1:7" x14ac:dyDescent="0.3">
      <c r="A169" s="2"/>
      <c r="B169" s="9"/>
      <c r="F169" s="8"/>
      <c r="G169" s="10"/>
    </row>
    <row r="170" spans="1:7" x14ac:dyDescent="0.3">
      <c r="A170" s="2"/>
      <c r="B170" s="9"/>
      <c r="F170" s="8"/>
      <c r="G170" s="10"/>
    </row>
    <row r="171" spans="1:7" x14ac:dyDescent="0.3">
      <c r="A171" s="2"/>
      <c r="B171" s="9"/>
      <c r="F171" s="8"/>
      <c r="G171" s="10"/>
    </row>
    <row r="172" spans="1:7" x14ac:dyDescent="0.3">
      <c r="A172" s="2"/>
      <c r="B172" s="9"/>
      <c r="F172" s="8"/>
      <c r="G172" s="10"/>
    </row>
    <row r="173" spans="1:7" x14ac:dyDescent="0.3">
      <c r="A173" s="2"/>
      <c r="B173" s="9"/>
      <c r="F173" s="8"/>
      <c r="G173" s="10"/>
    </row>
    <row r="174" spans="1:7" x14ac:dyDescent="0.3">
      <c r="A174" s="2"/>
      <c r="B174" s="9"/>
      <c r="F174" s="8"/>
      <c r="G174" s="10"/>
    </row>
    <row r="175" spans="1:7" x14ac:dyDescent="0.3">
      <c r="A175" s="2"/>
      <c r="B175" s="9"/>
      <c r="F175" s="8"/>
      <c r="G175" s="10"/>
    </row>
    <row r="176" spans="1:7" x14ac:dyDescent="0.3">
      <c r="A176" s="2"/>
      <c r="B176" s="9"/>
      <c r="F176" s="8"/>
      <c r="G176" s="10"/>
    </row>
    <row r="177" spans="1:8" x14ac:dyDescent="0.3">
      <c r="A177" s="9"/>
      <c r="E177" s="8"/>
      <c r="F177" s="10"/>
      <c r="H177" s="8"/>
    </row>
    <row r="178" spans="1:8" x14ac:dyDescent="0.3">
      <c r="A178" s="9"/>
      <c r="E178" s="8"/>
      <c r="F178" s="10"/>
      <c r="H178" s="8"/>
    </row>
    <row r="179" spans="1:8" x14ac:dyDescent="0.3">
      <c r="A179" s="9"/>
      <c r="E179" s="8"/>
      <c r="F179" s="10"/>
      <c r="H179" s="8"/>
    </row>
    <row r="180" spans="1:8" x14ac:dyDescent="0.3">
      <c r="A180" s="9"/>
      <c r="E180" s="8"/>
      <c r="F180" s="10"/>
      <c r="H180" s="8"/>
    </row>
    <row r="181" spans="1:8" x14ac:dyDescent="0.3">
      <c r="A181" s="9"/>
      <c r="E181" s="8"/>
      <c r="F181" s="10"/>
      <c r="H181" s="8"/>
    </row>
    <row r="182" spans="1:8" x14ac:dyDescent="0.3">
      <c r="A182" s="9"/>
      <c r="E182" s="8"/>
      <c r="F182" s="10"/>
      <c r="H182" s="8"/>
    </row>
    <row r="183" spans="1:8" x14ac:dyDescent="0.3">
      <c r="A183" s="9"/>
      <c r="E183" s="8"/>
      <c r="F183" s="10"/>
      <c r="H183" s="8"/>
    </row>
    <row r="184" spans="1:8" x14ac:dyDescent="0.3">
      <c r="A184" s="9"/>
      <c r="E184" s="8"/>
      <c r="F184" s="10"/>
      <c r="H184" s="8"/>
    </row>
    <row r="185" spans="1:8" x14ac:dyDescent="0.3">
      <c r="A185" s="9"/>
      <c r="E185" s="8"/>
      <c r="F185" s="10"/>
    </row>
    <row r="186" spans="1:8" x14ac:dyDescent="0.3">
      <c r="A186" s="2"/>
      <c r="B186" s="3"/>
      <c r="F186" s="8"/>
      <c r="G186" s="3"/>
    </row>
    <row r="187" spans="1:8" x14ac:dyDescent="0.3">
      <c r="A187" s="2"/>
      <c r="B187" s="3"/>
      <c r="F187" s="2"/>
      <c r="G187" s="3"/>
    </row>
    <row r="188" spans="1:8" x14ac:dyDescent="0.3">
      <c r="A188" s="2"/>
      <c r="B188" s="3"/>
      <c r="F188" s="2"/>
      <c r="G188" s="3"/>
    </row>
    <row r="189" spans="1:8" x14ac:dyDescent="0.3">
      <c r="A189" s="2"/>
      <c r="B189" s="3"/>
      <c r="F189" s="2"/>
      <c r="G189" s="3"/>
    </row>
    <row r="190" spans="1:8" x14ac:dyDescent="0.3">
      <c r="A190" s="2"/>
      <c r="B190" s="3"/>
      <c r="F190" s="2"/>
      <c r="G190" s="3"/>
    </row>
    <row r="191" spans="1:8" x14ac:dyDescent="0.3">
      <c r="A191" s="2"/>
      <c r="B191" s="3"/>
      <c r="F191" s="2"/>
      <c r="G191" s="3"/>
    </row>
    <row r="192" spans="1:8" x14ac:dyDescent="0.3">
      <c r="A192" s="2"/>
      <c r="B192" s="3"/>
      <c r="F192" s="2"/>
      <c r="G192" s="3"/>
    </row>
    <row r="193" spans="1:7" x14ac:dyDescent="0.3">
      <c r="A193" s="2"/>
      <c r="B193" s="3"/>
      <c r="F193" s="2"/>
      <c r="G193" s="3"/>
    </row>
    <row r="194" spans="1:7" x14ac:dyDescent="0.3">
      <c r="A194" s="2"/>
      <c r="B194" s="3"/>
      <c r="F194" s="2"/>
      <c r="G194" s="3"/>
    </row>
    <row r="195" spans="1:7" x14ac:dyDescent="0.3">
      <c r="A195" s="2"/>
      <c r="B195" s="3"/>
      <c r="F195" s="2"/>
      <c r="G195" s="3"/>
    </row>
    <row r="196" spans="1:7" x14ac:dyDescent="0.3">
      <c r="A196" s="2"/>
      <c r="B196" s="3"/>
      <c r="F196" s="2"/>
      <c r="G196" s="3"/>
    </row>
    <row r="197" spans="1:7" x14ac:dyDescent="0.3">
      <c r="A197" s="2"/>
      <c r="B197" s="3"/>
      <c r="F197" s="2"/>
      <c r="G197" s="3"/>
    </row>
    <row r="198" spans="1:7" x14ac:dyDescent="0.3">
      <c r="A198" s="2"/>
      <c r="B198" s="3"/>
      <c r="F198" s="2"/>
      <c r="G198" s="3"/>
    </row>
  </sheetData>
  <mergeCells count="10">
    <mergeCell ref="AE1:AH1"/>
    <mergeCell ref="AJ1:AM1"/>
    <mergeCell ref="AO1:AR1"/>
    <mergeCell ref="AT1:AW1"/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A192-A721-4AFB-BCA7-388426C237DC}">
  <dimension ref="A2:L46"/>
  <sheetViews>
    <sheetView topLeftCell="A3" zoomScaleNormal="100" workbookViewId="0">
      <selection activeCell="B20" sqref="B20"/>
    </sheetView>
  </sheetViews>
  <sheetFormatPr defaultRowHeight="14.4" x14ac:dyDescent="0.3"/>
  <cols>
    <col min="2" max="2" width="33.6640625" customWidth="1"/>
    <col min="3" max="3" width="19.44140625" customWidth="1"/>
    <col min="4" max="4" width="25.109375" customWidth="1"/>
    <col min="5" max="5" width="21.5546875" customWidth="1"/>
    <col min="6" max="6" width="13.88671875" customWidth="1"/>
    <col min="7" max="7" width="18.6640625" customWidth="1"/>
    <col min="8" max="8" width="11.6640625" customWidth="1"/>
    <col min="9" max="9" width="11.44140625" customWidth="1"/>
    <col min="10" max="10" width="12.33203125" customWidth="1"/>
    <col min="11" max="11" width="6.88671875" customWidth="1"/>
    <col min="12" max="12" width="17.109375" customWidth="1"/>
  </cols>
  <sheetData>
    <row r="2" spans="2:11" x14ac:dyDescent="0.3">
      <c r="B2" s="30" t="s">
        <v>18</v>
      </c>
      <c r="C2" s="31">
        <v>2.1621169946770352E-2</v>
      </c>
    </row>
    <row r="3" spans="2:11" x14ac:dyDescent="0.3">
      <c r="B3" s="32" t="s">
        <v>19</v>
      </c>
      <c r="C3" s="33">
        <v>1.4317675829852678E-2</v>
      </c>
    </row>
    <row r="4" spans="2:11" x14ac:dyDescent="0.3">
      <c r="B4" s="32" t="s">
        <v>20</v>
      </c>
      <c r="C4" s="33">
        <v>8.8334802790644117E-3</v>
      </c>
    </row>
    <row r="5" spans="2:11" x14ac:dyDescent="0.3">
      <c r="B5" s="32" t="s">
        <v>21</v>
      </c>
      <c r="C5" s="33">
        <v>-1.5309349758267255E-3</v>
      </c>
    </row>
    <row r="6" spans="2:11" x14ac:dyDescent="0.3">
      <c r="B6" s="34" t="s">
        <v>22</v>
      </c>
      <c r="C6" s="35">
        <v>1.3109002750260737E-2</v>
      </c>
    </row>
    <row r="7" spans="2:11" x14ac:dyDescent="0.3">
      <c r="E7" s="14" t="s">
        <v>12</v>
      </c>
    </row>
    <row r="8" spans="2:11" x14ac:dyDescent="0.3">
      <c r="F8" s="91" t="s">
        <v>7</v>
      </c>
      <c r="G8" s="91" t="s">
        <v>13</v>
      </c>
      <c r="H8" s="91" t="s">
        <v>4</v>
      </c>
      <c r="I8" s="91" t="s">
        <v>5</v>
      </c>
      <c r="J8" s="91" t="s">
        <v>6</v>
      </c>
    </row>
    <row r="9" spans="2:11" x14ac:dyDescent="0.3">
      <c r="B9" s="36" t="s">
        <v>23</v>
      </c>
      <c r="C9" s="37">
        <v>2.0842490773238641E-2</v>
      </c>
      <c r="E9" s="91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2:11" x14ac:dyDescent="0.3">
      <c r="B10" s="38" t="s">
        <v>24</v>
      </c>
      <c r="C10" s="39">
        <v>2.8918859277023809E-3</v>
      </c>
      <c r="E10" s="91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2:11" x14ac:dyDescent="0.3">
      <c r="B11" s="38" t="s">
        <v>25</v>
      </c>
      <c r="C11" s="39">
        <v>3.8312056504527583E-3</v>
      </c>
      <c r="E11" s="91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2:11" x14ac:dyDescent="0.3">
      <c r="B12" s="38" t="s">
        <v>26</v>
      </c>
      <c r="C12" s="39">
        <v>1.1320029492750884E-2</v>
      </c>
      <c r="E12" s="91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2:11" x14ac:dyDescent="0.3">
      <c r="B13" s="40" t="s">
        <v>27</v>
      </c>
      <c r="C13" s="41">
        <v>9.3913833633057133E-3</v>
      </c>
      <c r="E13" s="91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5" spans="2:11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</row>
    <row r="16" spans="2:11" x14ac:dyDescent="0.3">
      <c r="B16" s="44" t="s">
        <v>30</v>
      </c>
      <c r="C16" s="45">
        <f t="shared" ref="C16:C19" si="0">SQRT(C10)</f>
        <v>5.3776258029937157E-2</v>
      </c>
      <c r="F16" s="7">
        <v>-0.18643589997477289</v>
      </c>
      <c r="G16" s="7">
        <v>-0.12892672333262264</v>
      </c>
      <c r="H16" s="7">
        <v>0.71628837931799727</v>
      </c>
      <c r="I16" s="7">
        <v>0.67177144453958026</v>
      </c>
      <c r="J16" s="7">
        <v>-7.2697176770780109E-2</v>
      </c>
      <c r="K16" s="16">
        <f>SUM(F16:J16)</f>
        <v>1.000000023779402</v>
      </c>
    </row>
    <row r="17" spans="1:12" x14ac:dyDescent="0.3">
      <c r="B17" s="44" t="s">
        <v>31</v>
      </c>
      <c r="C17" s="45">
        <f t="shared" si="0"/>
        <v>6.1896733762394587E-2</v>
      </c>
    </row>
    <row r="18" spans="1:12" ht="28.8" x14ac:dyDescent="0.3">
      <c r="B18" s="44" t="s">
        <v>32</v>
      </c>
      <c r="C18" s="45">
        <f t="shared" si="0"/>
        <v>0.10639562722570362</v>
      </c>
      <c r="E18" s="48" t="s">
        <v>33</v>
      </c>
      <c r="F18" s="5">
        <f>F16*C2+G16*C3+H16*C4+C5*I16+C6*J16</f>
        <v>-1.5309999256183338E-3</v>
      </c>
    </row>
    <row r="19" spans="1:12" x14ac:dyDescent="0.3">
      <c r="B19" s="46" t="s">
        <v>144</v>
      </c>
      <c r="C19" s="47">
        <f t="shared" si="0"/>
        <v>9.6909150049444323E-2</v>
      </c>
    </row>
    <row r="20" spans="1:12" ht="28.8" x14ac:dyDescent="0.3">
      <c r="E20" s="48" t="s">
        <v>34</v>
      </c>
      <c r="F20" s="5" cm="1">
        <f t="array" ref="F20">MMULT(MMULT(F16:J16,F9:J13),TRANSPOSE(F16:J16))</f>
        <v>7.41830976449103E-3</v>
      </c>
    </row>
    <row r="22" spans="1:12" x14ac:dyDescent="0.3">
      <c r="E22" t="s">
        <v>39</v>
      </c>
      <c r="F22" s="5">
        <f>SQRT(F20)</f>
        <v>8.6129610265523848E-2</v>
      </c>
    </row>
    <row r="24" spans="1:12" x14ac:dyDescent="0.3">
      <c r="B24" t="s">
        <v>36</v>
      </c>
      <c r="C24">
        <v>-1.531E-3</v>
      </c>
    </row>
    <row r="26" spans="1:12" x14ac:dyDescent="0.3">
      <c r="F26" s="172" t="s">
        <v>29</v>
      </c>
      <c r="G26" s="173"/>
      <c r="H26" s="173"/>
      <c r="I26" s="173"/>
      <c r="J26" s="174"/>
    </row>
    <row r="27" spans="1:12" x14ac:dyDescent="0.3">
      <c r="B27" s="20" t="s">
        <v>37</v>
      </c>
      <c r="C27" s="21" t="s">
        <v>38</v>
      </c>
      <c r="D27" s="22" t="s">
        <v>39</v>
      </c>
      <c r="F27" s="23" t="s">
        <v>7</v>
      </c>
      <c r="G27" t="s">
        <v>13</v>
      </c>
      <c r="H27" t="s">
        <v>4</v>
      </c>
      <c r="I27" t="s">
        <v>5</v>
      </c>
      <c r="J27" s="24" t="s">
        <v>6</v>
      </c>
      <c r="L27" t="s">
        <v>40</v>
      </c>
    </row>
    <row r="28" spans="1:12" x14ac:dyDescent="0.3">
      <c r="A28">
        <v>1</v>
      </c>
      <c r="B28" s="25">
        <v>-4.4249999964856663E-3</v>
      </c>
      <c r="C28" s="5">
        <v>1.047822556225852E-2</v>
      </c>
      <c r="D28" s="26">
        <v>0.10236320414220396</v>
      </c>
      <c r="F28" s="25">
        <v>-0.23436310919319323</v>
      </c>
      <c r="G28" s="5">
        <v>-0.25467730409518979</v>
      </c>
      <c r="H28" s="5">
        <v>0.81873542193746074</v>
      </c>
      <c r="I28" s="5">
        <v>0.80128219806534851</v>
      </c>
      <c r="J28" s="26">
        <v>-0.13097720671442595</v>
      </c>
      <c r="L28" s="5">
        <v>-4.4250000000000001E-3</v>
      </c>
    </row>
    <row r="29" spans="1:12" x14ac:dyDescent="0.3">
      <c r="A29">
        <v>2</v>
      </c>
      <c r="B29" s="25">
        <v>-1.5310000167614753E-3</v>
      </c>
      <c r="C29" s="5">
        <v>7.4183095327623565E-3</v>
      </c>
      <c r="D29" s="26">
        <v>8.6129608920291492E-2</v>
      </c>
      <c r="F29" s="25">
        <v>-0.18643587079621249</v>
      </c>
      <c r="G29" s="5">
        <v>-0.12892651444518222</v>
      </c>
      <c r="H29" s="5">
        <v>0.71628797196481386</v>
      </c>
      <c r="I29" s="5">
        <v>0.67177158264918402</v>
      </c>
      <c r="J29" s="26">
        <v>-7.2697169372602982E-2</v>
      </c>
      <c r="L29" s="5">
        <v>-1.531E-3</v>
      </c>
    </row>
    <row r="30" spans="1:12" x14ac:dyDescent="0.3">
      <c r="A30">
        <v>3</v>
      </c>
      <c r="B30" s="25">
        <v>1.3629999711574281E-3</v>
      </c>
      <c r="C30" s="5">
        <v>4.9839194490593486E-3</v>
      </c>
      <c r="D30" s="26">
        <v>7.0596879881899513E-2</v>
      </c>
      <c r="F30" s="25">
        <v>-0.13850870195040565</v>
      </c>
      <c r="G30" s="5">
        <v>-3.1757979336067632E-3</v>
      </c>
      <c r="H30" s="5">
        <v>0.61384074204732153</v>
      </c>
      <c r="I30" s="5">
        <v>0.54226085592946227</v>
      </c>
      <c r="J30" s="26">
        <v>-1.4417098092771469E-2</v>
      </c>
      <c r="L30" s="5">
        <v>1.3630000000000001E-3</v>
      </c>
    </row>
    <row r="31" spans="1:12" x14ac:dyDescent="0.3">
      <c r="A31">
        <v>4</v>
      </c>
      <c r="B31" s="25">
        <v>4.2569999735574092E-3</v>
      </c>
      <c r="C31" s="5">
        <v>3.175055313213149E-3</v>
      </c>
      <c r="D31" s="26">
        <v>5.634762917118296E-2</v>
      </c>
      <c r="F31" s="25">
        <v>-9.0581606288398342E-2</v>
      </c>
      <c r="G31" s="5">
        <v>0.122574891786406</v>
      </c>
      <c r="H31" s="5">
        <v>0.51139325944176794</v>
      </c>
      <c r="I31" s="5">
        <v>0.41275015725340031</v>
      </c>
      <c r="J31" s="26">
        <v>4.3863297806824131E-2</v>
      </c>
      <c r="L31" s="5">
        <v>4.2570000000000004E-3</v>
      </c>
    </row>
    <row r="32" spans="1:12" x14ac:dyDescent="0.3">
      <c r="A32">
        <v>5</v>
      </c>
      <c r="B32" s="25">
        <v>7.1509999708360842E-3</v>
      </c>
      <c r="C32" s="5">
        <v>1.9917171405098911E-3</v>
      </c>
      <c r="D32" s="26">
        <v>4.462865828713531E-2</v>
      </c>
      <c r="F32" s="25">
        <v>-4.2654296754784549E-2</v>
      </c>
      <c r="G32" s="5">
        <v>0.24832551487677126</v>
      </c>
      <c r="H32" s="5">
        <v>0.40894586061688021</v>
      </c>
      <c r="I32" s="5">
        <v>0.283239553310842</v>
      </c>
      <c r="J32" s="26">
        <v>0.10214336795029096</v>
      </c>
      <c r="L32" s="5">
        <v>7.1510000000000002E-3</v>
      </c>
    </row>
    <row r="33" spans="1:12" x14ac:dyDescent="0.3">
      <c r="A33">
        <v>6</v>
      </c>
      <c r="B33" s="25">
        <v>1.0044999970675388E-2</v>
      </c>
      <c r="C33" s="5">
        <v>1.4339049269794174E-3</v>
      </c>
      <c r="D33" s="26">
        <v>3.7866937121708397E-2</v>
      </c>
      <c r="F33" s="25">
        <v>5.2728881831143309E-3</v>
      </c>
      <c r="G33" s="5">
        <v>0.37407620582863926</v>
      </c>
      <c r="H33" s="5">
        <v>0.30649853139532957</v>
      </c>
      <c r="I33" s="5">
        <v>0.15372886202443944</v>
      </c>
      <c r="J33" s="26">
        <v>0.16042351256847753</v>
      </c>
      <c r="L33" s="5">
        <v>1.0045E-2</v>
      </c>
    </row>
    <row r="34" spans="1:12" x14ac:dyDescent="0.3">
      <c r="A34">
        <v>7</v>
      </c>
      <c r="B34" s="25">
        <v>1.2938999970514498E-2</v>
      </c>
      <c r="C34" s="5">
        <v>1.5016186739449597E-3</v>
      </c>
      <c r="D34" s="26">
        <v>3.8750724818317393E-2</v>
      </c>
      <c r="F34" s="25">
        <v>5.3200055589958467E-2</v>
      </c>
      <c r="G34" s="5">
        <v>0.49982689971609329</v>
      </c>
      <c r="H34" s="5">
        <v>0.20405117038878481</v>
      </c>
      <c r="I34" s="5">
        <v>2.4218170069901512E-2</v>
      </c>
      <c r="J34" s="26">
        <v>0.21870370423526181</v>
      </c>
      <c r="L34" s="5">
        <v>1.2939000000000001E-2</v>
      </c>
    </row>
    <row r="35" spans="1:12" x14ac:dyDescent="0.3">
      <c r="A35">
        <v>8</v>
      </c>
      <c r="B35" s="25">
        <v>1.5833011240432671E-2</v>
      </c>
      <c r="C35" s="5">
        <v>2.1948622990787354E-3</v>
      </c>
      <c r="D35" s="26">
        <v>4.6849357509775258E-2</v>
      </c>
      <c r="F35" s="25">
        <v>0.10112745891475761</v>
      </c>
      <c r="G35" s="5">
        <v>0.62557802698188514</v>
      </c>
      <c r="H35" s="5">
        <v>0.10160342142584096</v>
      </c>
      <c r="I35" s="5">
        <v>-0.10529300545069241</v>
      </c>
      <c r="J35" s="26">
        <v>0.27698409812820912</v>
      </c>
      <c r="L35" s="5">
        <v>1.5833E-2</v>
      </c>
    </row>
    <row r="36" spans="1:12" x14ac:dyDescent="0.3">
      <c r="A36">
        <v>9</v>
      </c>
      <c r="B36" s="25">
        <v>2.1621011240111267E-2</v>
      </c>
      <c r="C36" s="5">
        <v>5.4579244674507954E-3</v>
      </c>
      <c r="D36" s="26">
        <v>7.387776707136455E-2</v>
      </c>
      <c r="F36" s="25">
        <v>0.19698183567366689</v>
      </c>
      <c r="G36" s="5">
        <v>0.87707930565558456</v>
      </c>
      <c r="H36" s="5">
        <v>-0.10329121823908423</v>
      </c>
      <c r="I36" s="5">
        <v>-0.36431439802816296</v>
      </c>
      <c r="J36" s="26">
        <v>0.39354447493799588</v>
      </c>
      <c r="L36" s="5">
        <v>2.1621000000000001E-2</v>
      </c>
    </row>
    <row r="37" spans="1:12" x14ac:dyDescent="0.3">
      <c r="A37">
        <v>10</v>
      </c>
      <c r="B37" s="27">
        <v>2.4515011239950556E-2</v>
      </c>
      <c r="C37" s="28">
        <v>8.0277444923810698E-3</v>
      </c>
      <c r="D37" s="29">
        <v>8.9597681289088446E-2</v>
      </c>
      <c r="F37" s="27">
        <v>0.24490899599349403</v>
      </c>
      <c r="G37" s="28">
        <v>1.0028299737210282</v>
      </c>
      <c r="H37" s="28">
        <v>-0.20573852838613016</v>
      </c>
      <c r="I37" s="28">
        <v>-0.49382511108848415</v>
      </c>
      <c r="J37" s="29">
        <v>0.45182466976009217</v>
      </c>
      <c r="L37" s="5">
        <v>2.4514999999999999E-2</v>
      </c>
    </row>
    <row r="40" spans="1:12" x14ac:dyDescent="0.3">
      <c r="B40" t="s">
        <v>41</v>
      </c>
      <c r="C40">
        <v>2.1948622990787354E-3</v>
      </c>
    </row>
    <row r="43" spans="1:12" x14ac:dyDescent="0.3">
      <c r="B43" s="20" t="s">
        <v>37</v>
      </c>
      <c r="C43" s="21" t="s">
        <v>38</v>
      </c>
      <c r="D43" s="22" t="s">
        <v>39</v>
      </c>
      <c r="E43" s="17" t="s">
        <v>29</v>
      </c>
      <c r="F43" s="21" t="s">
        <v>7</v>
      </c>
      <c r="G43" s="21" t="s">
        <v>13</v>
      </c>
      <c r="H43" s="21" t="s">
        <v>4</v>
      </c>
      <c r="I43" s="21" t="s">
        <v>5</v>
      </c>
      <c r="J43" s="22" t="s">
        <v>6</v>
      </c>
      <c r="L43" t="s">
        <v>42</v>
      </c>
    </row>
    <row r="44" spans="1:12" x14ac:dyDescent="0.3">
      <c r="B44" s="164">
        <v>1.1178722106586264E-2</v>
      </c>
      <c r="C44" s="4">
        <v>1.3859061204517056E-3</v>
      </c>
      <c r="D44" s="165">
        <v>3.7227760078356924E-2</v>
      </c>
      <c r="E44" s="25"/>
      <c r="F44" s="5">
        <v>2.4048305925928156E-2</v>
      </c>
      <c r="G44" s="5">
        <v>0.42333872964008401</v>
      </c>
      <c r="H44" s="5">
        <v>0.26636518090909467</v>
      </c>
      <c r="I44" s="5">
        <v>0.1029930703743263</v>
      </c>
      <c r="J44" s="26">
        <v>0.18325474995324298</v>
      </c>
      <c r="K44" s="5"/>
      <c r="L44" s="5">
        <v>1.3859061204517056E-3</v>
      </c>
    </row>
    <row r="45" spans="1:12" x14ac:dyDescent="0.3">
      <c r="B45" s="25">
        <v>1.2939001068294827E-2</v>
      </c>
      <c r="C45" s="5">
        <v>1.5016191899972033E-3</v>
      </c>
      <c r="D45" s="26">
        <v>3.8750731476930901E-2</v>
      </c>
      <c r="E45" s="25"/>
      <c r="F45" s="5">
        <v>5.3167874343832175E-2</v>
      </c>
      <c r="G45" s="5">
        <v>0.49986283191117936</v>
      </c>
      <c r="H45" s="5">
        <v>0.20421866673426109</v>
      </c>
      <c r="I45" s="5">
        <v>2.4153433863479189E-2</v>
      </c>
      <c r="J45" s="26">
        <v>0.21859719314796047</v>
      </c>
      <c r="K45" s="5"/>
      <c r="L45" s="5">
        <v>1.5016186739449597E-3</v>
      </c>
    </row>
    <row r="46" spans="1:12" x14ac:dyDescent="0.3">
      <c r="B46" s="27">
        <v>1.5833016088254014E-2</v>
      </c>
      <c r="C46" s="28">
        <v>2.1948641243225995E-3</v>
      </c>
      <c r="D46" s="29">
        <v>4.6849376989695386E-2</v>
      </c>
      <c r="E46" s="27"/>
      <c r="F46" s="28">
        <v>0.10112560816174154</v>
      </c>
      <c r="G46" s="28">
        <v>0.62558008457781678</v>
      </c>
      <c r="H46" s="28">
        <v>0.10171159697606801</v>
      </c>
      <c r="I46" s="28">
        <v>-0.10532583494658686</v>
      </c>
      <c r="J46" s="29">
        <v>0.27690854523096053</v>
      </c>
      <c r="K46" s="5"/>
      <c r="L46" s="5">
        <v>2.1948622990787354E-3</v>
      </c>
    </row>
  </sheetData>
  <mergeCells count="1">
    <mergeCell ref="F26:J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091D-B5B1-4565-820D-961987F51A0E}">
  <dimension ref="A1:P74"/>
  <sheetViews>
    <sheetView topLeftCell="A9" zoomScale="94" zoomScaleNormal="94" workbookViewId="0">
      <selection activeCell="A17" sqref="A17"/>
    </sheetView>
  </sheetViews>
  <sheetFormatPr defaultRowHeight="14.4" x14ac:dyDescent="0.3"/>
  <cols>
    <col min="2" max="2" width="37.33203125" customWidth="1"/>
    <col min="3" max="3" width="12.77734375" customWidth="1"/>
    <col min="4" max="4" width="20.77734375" bestFit="1" customWidth="1"/>
    <col min="5" max="5" width="20.44140625" customWidth="1"/>
    <col min="6" max="6" width="14.21875" customWidth="1"/>
    <col min="7" max="7" width="16.33203125" customWidth="1"/>
    <col min="8" max="8" width="11.77734375" customWidth="1"/>
    <col min="9" max="9" width="10.33203125" customWidth="1"/>
    <col min="10" max="10" width="10.6640625" customWidth="1"/>
    <col min="13" max="13" width="17.5546875" customWidth="1"/>
    <col min="16" max="16" width="10" bestFit="1" customWidth="1"/>
  </cols>
  <sheetData>
    <row r="1" spans="1:10" x14ac:dyDescent="0.3">
      <c r="B1" s="90"/>
    </row>
    <row r="2" spans="1:10" x14ac:dyDescent="0.3">
      <c r="A2" s="89"/>
      <c r="B2" t="s">
        <v>18</v>
      </c>
      <c r="C2" s="68">
        <v>2.1621169946770352E-2</v>
      </c>
    </row>
    <row r="3" spans="1:10" x14ac:dyDescent="0.3">
      <c r="B3" s="32" t="s">
        <v>19</v>
      </c>
      <c r="C3" s="69">
        <v>1.4317675829852678E-2</v>
      </c>
    </row>
    <row r="4" spans="1:10" x14ac:dyDescent="0.3">
      <c r="B4" s="32" t="s">
        <v>20</v>
      </c>
      <c r="C4" s="69">
        <v>8.8334802790644117E-3</v>
      </c>
    </row>
    <row r="5" spans="1:10" x14ac:dyDescent="0.3">
      <c r="B5" s="32" t="s">
        <v>21</v>
      </c>
      <c r="C5" s="69">
        <v>-1.5309349758267255E-3</v>
      </c>
    </row>
    <row r="6" spans="1:10" x14ac:dyDescent="0.3">
      <c r="B6" s="34" t="s">
        <v>22</v>
      </c>
      <c r="C6" s="70">
        <v>1.3109002750260737E-2</v>
      </c>
    </row>
    <row r="7" spans="1:10" x14ac:dyDescent="0.3">
      <c r="C7" s="7"/>
      <c r="E7" s="14" t="s">
        <v>12</v>
      </c>
    </row>
    <row r="8" spans="1:10" x14ac:dyDescent="0.3">
      <c r="C8" s="7"/>
      <c r="F8" s="92" t="s">
        <v>7</v>
      </c>
      <c r="G8" s="92" t="s">
        <v>13</v>
      </c>
      <c r="H8" s="92" t="s">
        <v>4</v>
      </c>
      <c r="I8" s="92" t="s">
        <v>5</v>
      </c>
      <c r="J8" s="92" t="s">
        <v>6</v>
      </c>
    </row>
    <row r="9" spans="1:10" x14ac:dyDescent="0.3">
      <c r="B9" s="36" t="s">
        <v>23</v>
      </c>
      <c r="C9" s="37">
        <v>2.0842490773238641E-2</v>
      </c>
      <c r="E9" s="92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1:10" x14ac:dyDescent="0.3">
      <c r="B10" s="38" t="s">
        <v>24</v>
      </c>
      <c r="C10" s="39">
        <v>2.8918859277023809E-3</v>
      </c>
      <c r="E10" s="92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1:10" x14ac:dyDescent="0.3">
      <c r="B11" s="38" t="s">
        <v>25</v>
      </c>
      <c r="C11" s="39">
        <v>3.8312056504527583E-3</v>
      </c>
      <c r="E11" s="92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1:10" x14ac:dyDescent="0.3">
      <c r="B12" s="38" t="s">
        <v>26</v>
      </c>
      <c r="C12" s="39">
        <v>1.1320029492750884E-2</v>
      </c>
      <c r="E12" s="92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1:10" x14ac:dyDescent="0.3">
      <c r="B13" s="40" t="s">
        <v>27</v>
      </c>
      <c r="C13" s="41">
        <v>9.3913833633057133E-3</v>
      </c>
      <c r="E13" s="92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4" spans="1:10" x14ac:dyDescent="0.3">
      <c r="C14" s="7"/>
    </row>
    <row r="15" spans="1:10" x14ac:dyDescent="0.3">
      <c r="B15" s="42" t="s">
        <v>28</v>
      </c>
      <c r="C15" s="43">
        <f>SQRT(C9)</f>
        <v>0.14436928611459793</v>
      </c>
    </row>
    <row r="16" spans="1:10" x14ac:dyDescent="0.3">
      <c r="B16" s="44" t="s">
        <v>30</v>
      </c>
      <c r="C16" s="45">
        <f t="shared" ref="C16:C19" si="0">SQRT(C10)</f>
        <v>5.3776258029937157E-2</v>
      </c>
    </row>
    <row r="17" spans="2:10" x14ac:dyDescent="0.3">
      <c r="B17" s="44" t="s">
        <v>31</v>
      </c>
      <c r="C17" s="45">
        <f t="shared" si="0"/>
        <v>6.1896733762394587E-2</v>
      </c>
    </row>
    <row r="18" spans="2:10" x14ac:dyDescent="0.3">
      <c r="B18" s="44" t="s">
        <v>32</v>
      </c>
      <c r="C18" s="45">
        <f t="shared" si="0"/>
        <v>0.10639562722570362</v>
      </c>
      <c r="E18" s="48"/>
    </row>
    <row r="19" spans="2:10" x14ac:dyDescent="0.3">
      <c r="B19" s="46" t="s">
        <v>144</v>
      </c>
      <c r="C19" s="47">
        <f t="shared" si="0"/>
        <v>9.6909150049444323E-2</v>
      </c>
    </row>
    <row r="20" spans="2:10" x14ac:dyDescent="0.3">
      <c r="E20" s="48"/>
    </row>
    <row r="23" spans="2:10" x14ac:dyDescent="0.3">
      <c r="B23" s="14" t="s">
        <v>60</v>
      </c>
    </row>
    <row r="24" spans="2:10" x14ac:dyDescent="0.3">
      <c r="B24" s="42"/>
      <c r="C24" s="57"/>
      <c r="D24" s="57"/>
      <c r="E24" s="57"/>
      <c r="F24" s="57"/>
      <c r="G24" s="57"/>
      <c r="H24" s="57"/>
      <c r="I24" s="57"/>
      <c r="J24" s="58"/>
    </row>
    <row r="25" spans="2:10" x14ac:dyDescent="0.3">
      <c r="B25" s="59" t="s">
        <v>43</v>
      </c>
      <c r="C25" s="22">
        <v>1</v>
      </c>
      <c r="E25" s="49" t="s">
        <v>44</v>
      </c>
      <c r="F25" s="50" cm="1">
        <f t="array" ref="F25:J25">TRANSPOSE(C25:C29)</f>
        <v>1</v>
      </c>
      <c r="G25" s="50">
        <v>1</v>
      </c>
      <c r="H25" s="50">
        <v>1</v>
      </c>
      <c r="I25" s="50">
        <v>1</v>
      </c>
      <c r="J25" s="60">
        <v>1</v>
      </c>
    </row>
    <row r="26" spans="2:10" x14ac:dyDescent="0.3">
      <c r="B26" s="44"/>
      <c r="C26" s="24">
        <v>1</v>
      </c>
      <c r="J26" s="61"/>
    </row>
    <row r="27" spans="2:10" x14ac:dyDescent="0.3">
      <c r="B27" s="44"/>
      <c r="C27" s="61">
        <v>1</v>
      </c>
      <c r="J27" s="61"/>
    </row>
    <row r="28" spans="2:10" x14ac:dyDescent="0.3">
      <c r="B28" s="44"/>
      <c r="C28" s="24">
        <v>1</v>
      </c>
      <c r="J28" s="61"/>
    </row>
    <row r="29" spans="2:10" x14ac:dyDescent="0.3">
      <c r="B29" s="62"/>
      <c r="C29" s="51">
        <v>1</v>
      </c>
      <c r="J29" s="61"/>
    </row>
    <row r="30" spans="2:10" x14ac:dyDescent="0.3">
      <c r="B30" s="44"/>
      <c r="J30" s="61"/>
    </row>
    <row r="31" spans="2:10" ht="28.8" x14ac:dyDescent="0.3">
      <c r="B31" s="63" t="s">
        <v>45</v>
      </c>
      <c r="C31" s="104">
        <v>2.1621169946770352E-2</v>
      </c>
      <c r="E31" s="53" t="s">
        <v>46</v>
      </c>
      <c r="F31" s="102" cm="1">
        <f t="array" ref="F31:J31">TRANSPOSE(C31:C35)</f>
        <v>2.1621169946770352E-2</v>
      </c>
      <c r="G31" s="102">
        <v>1.4317675829852678E-2</v>
      </c>
      <c r="H31" s="102">
        <v>8.8334802790644117E-3</v>
      </c>
      <c r="I31" s="102">
        <v>-1.5309349758267255E-3</v>
      </c>
      <c r="J31" s="103">
        <v>1.3109002750260737E-2</v>
      </c>
    </row>
    <row r="32" spans="2:10" x14ac:dyDescent="0.3">
      <c r="B32" s="44"/>
      <c r="C32" s="105">
        <v>1.4317675829852678E-2</v>
      </c>
      <c r="J32" s="61"/>
    </row>
    <row r="33" spans="2:16" x14ac:dyDescent="0.3">
      <c r="B33" s="44"/>
      <c r="C33" s="105">
        <v>8.8334802790644117E-3</v>
      </c>
      <c r="J33" s="61"/>
    </row>
    <row r="34" spans="2:16" x14ac:dyDescent="0.3">
      <c r="B34" s="44"/>
      <c r="C34" s="105">
        <v>-1.5309349758267255E-3</v>
      </c>
      <c r="J34" s="61"/>
    </row>
    <row r="35" spans="2:16" x14ac:dyDescent="0.3">
      <c r="B35" s="64"/>
      <c r="C35" s="106">
        <v>1.3109002750260737E-2</v>
      </c>
      <c r="J35" s="61"/>
    </row>
    <row r="36" spans="2:16" x14ac:dyDescent="0.3">
      <c r="B36" s="44"/>
      <c r="J36" s="61"/>
    </row>
    <row r="37" spans="2:16" x14ac:dyDescent="0.3">
      <c r="B37" s="63" t="s">
        <v>47</v>
      </c>
      <c r="C37" s="54" cm="1">
        <f t="array" ref="C37:G41">MINVERSE(F9:J13)</f>
        <v>50.371554873798793</v>
      </c>
      <c r="D37" s="54">
        <v>-30.438340804756574</v>
      </c>
      <c r="E37" s="54">
        <v>1.438998988684449</v>
      </c>
      <c r="F37" s="54">
        <v>-1.6494520488428537</v>
      </c>
      <c r="G37" s="55">
        <v>-2.3706932309377953</v>
      </c>
      <c r="J37" s="45"/>
      <c r="K37" s="5"/>
      <c r="L37" s="5"/>
      <c r="M37" s="5"/>
      <c r="N37" s="5"/>
      <c r="P37" s="5"/>
    </row>
    <row r="38" spans="2:16" x14ac:dyDescent="0.3">
      <c r="B38" s="44"/>
      <c r="C38" s="5">
        <v>-30.43834080475656</v>
      </c>
      <c r="D38" s="5">
        <v>428.04083247742693</v>
      </c>
      <c r="E38" s="5">
        <v>-129.19652735617271</v>
      </c>
      <c r="F38" s="5">
        <v>16.167994265939246</v>
      </c>
      <c r="G38" s="56">
        <v>20.886029299405841</v>
      </c>
      <c r="J38" s="45"/>
      <c r="K38" s="5"/>
      <c r="L38" s="5"/>
      <c r="M38" s="5"/>
      <c r="N38" s="5"/>
    </row>
    <row r="39" spans="2:16" x14ac:dyDescent="0.3">
      <c r="B39" s="44"/>
      <c r="C39" s="5">
        <v>1.4389989886844503</v>
      </c>
      <c r="D39" s="5">
        <v>-129.19652735617268</v>
      </c>
      <c r="E39" s="5">
        <v>307.9397571967051</v>
      </c>
      <c r="F39" s="5">
        <v>-9.6702728532199309</v>
      </c>
      <c r="G39" s="56">
        <v>21.68351065549615</v>
      </c>
      <c r="J39" s="45"/>
      <c r="K39" s="5"/>
      <c r="L39" s="5"/>
      <c r="M39" s="5"/>
      <c r="N39" s="5"/>
    </row>
    <row r="40" spans="2:16" x14ac:dyDescent="0.3">
      <c r="B40" s="44"/>
      <c r="C40" s="5">
        <v>-1.6494520488428537</v>
      </c>
      <c r="D40" s="5">
        <v>16.167994265939242</v>
      </c>
      <c r="E40" s="5">
        <v>-9.6702728532199327</v>
      </c>
      <c r="F40" s="5">
        <v>94.854160620451353</v>
      </c>
      <c r="G40" s="56">
        <v>-25.387741010197029</v>
      </c>
      <c r="J40" s="45"/>
      <c r="K40" s="5"/>
      <c r="L40" s="5"/>
      <c r="M40" s="5"/>
      <c r="N40" s="5"/>
    </row>
    <row r="41" spans="2:16" x14ac:dyDescent="0.3">
      <c r="B41" s="46"/>
      <c r="C41" s="65">
        <v>-2.3706932309377948</v>
      </c>
      <c r="D41" s="65">
        <v>20.886029299405838</v>
      </c>
      <c r="E41" s="65">
        <v>21.683510655496153</v>
      </c>
      <c r="F41" s="65">
        <v>-25.387741010197029</v>
      </c>
      <c r="G41" s="66">
        <v>117.41633118878508</v>
      </c>
      <c r="H41" s="67"/>
      <c r="I41" s="67"/>
      <c r="J41" s="47"/>
      <c r="K41" s="5"/>
      <c r="L41" s="5"/>
      <c r="M41" s="5"/>
      <c r="N41" s="5"/>
    </row>
    <row r="42" spans="2:16" ht="15" thickBot="1" x14ac:dyDescent="0.35"/>
    <row r="43" spans="2:16" x14ac:dyDescent="0.3">
      <c r="B43" s="72" t="s">
        <v>48</v>
      </c>
      <c r="C43" s="73" cm="1">
        <f t="array" ref="C43">MMULT(MMULT((F25:J25),(C37:G41)),(C25:C29))</f>
        <v>721.54964816796473</v>
      </c>
    </row>
    <row r="44" spans="2:16" x14ac:dyDescent="0.3">
      <c r="B44" s="74" t="s">
        <v>49</v>
      </c>
      <c r="C44" s="75" cm="1">
        <f t="array" ref="C44">MMULT(MMULT((F25:J25),(C37:G41)),(C31:C35))</f>
        <v>8.0660028334999812</v>
      </c>
    </row>
    <row r="45" spans="2:16" x14ac:dyDescent="0.3">
      <c r="B45" s="74" t="s">
        <v>50</v>
      </c>
      <c r="C45" s="75" cm="1">
        <f t="array" ref="C45">MMULT(MMULT((F31:J31),(C37:G41)),(C31:C35))</f>
        <v>0.11694582263146149</v>
      </c>
    </row>
    <row r="46" spans="2:16" ht="15" thickBot="1" x14ac:dyDescent="0.35">
      <c r="B46" s="76" t="s">
        <v>51</v>
      </c>
      <c r="C46" s="77">
        <f>(C45*C43)-(C44*C44)</f>
        <v>19.321815464414513</v>
      </c>
    </row>
    <row r="47" spans="2:16" x14ac:dyDescent="0.3">
      <c r="C47" s="52"/>
    </row>
    <row r="48" spans="2:16" ht="15" thickBot="1" x14ac:dyDescent="0.35">
      <c r="C48" s="52"/>
      <c r="D48" t="s">
        <v>52</v>
      </c>
      <c r="E48" t="s">
        <v>29</v>
      </c>
      <c r="F48" t="s">
        <v>7</v>
      </c>
      <c r="G48" t="s">
        <v>13</v>
      </c>
      <c r="H48" t="s">
        <v>4</v>
      </c>
      <c r="I48" t="s">
        <v>5</v>
      </c>
      <c r="J48" t="s">
        <v>6</v>
      </c>
      <c r="K48" t="s">
        <v>53</v>
      </c>
      <c r="M48" t="s">
        <v>40</v>
      </c>
    </row>
    <row r="49" spans="1:14" x14ac:dyDescent="0.3">
      <c r="A49" s="175" t="s">
        <v>54</v>
      </c>
      <c r="B49" s="78" t="s">
        <v>7</v>
      </c>
      <c r="C49" s="73" cm="1">
        <f t="array" ref="C49:C53">(MMULT(MMULT((C37:G41),(C25:C29)),C45)-MMULT(MMULT((C37:G41),(C31:C35)),C44))/C46</f>
        <v>-0.16108112280547432</v>
      </c>
      <c r="D49" s="5">
        <v>2.4514999999999999E-2</v>
      </c>
      <c r="F49" s="5">
        <f>C49+D49*C55</f>
        <v>0.24490882079017701</v>
      </c>
      <c r="G49" s="5">
        <f>C50+C56*D49</f>
        <v>1.0028296591515899</v>
      </c>
      <c r="H49" s="5">
        <f>C51+C57*D49</f>
        <v>-0.20573854005070991</v>
      </c>
      <c r="I49" s="5">
        <f>C52+C58*D49</f>
        <v>-0.49382446776257971</v>
      </c>
      <c r="J49" s="5">
        <f>C53+C59*D49</f>
        <v>0.4518245278715225</v>
      </c>
      <c r="K49">
        <f>SUM(F49:J49)</f>
        <v>0.99999999999999989</v>
      </c>
      <c r="M49" s="5">
        <v>-4.4250000000000001E-3</v>
      </c>
      <c r="N49">
        <v>1</v>
      </c>
    </row>
    <row r="50" spans="1:14" x14ac:dyDescent="0.3">
      <c r="A50" s="176"/>
      <c r="B50" t="s">
        <v>13</v>
      </c>
      <c r="C50" s="75">
        <v>-6.2401389777409513E-2</v>
      </c>
      <c r="M50" s="5">
        <v>-1.531E-3</v>
      </c>
      <c r="N50">
        <v>2</v>
      </c>
    </row>
    <row r="51" spans="1:14" x14ac:dyDescent="0.3">
      <c r="A51" s="176"/>
      <c r="B51" t="s">
        <v>4</v>
      </c>
      <c r="C51" s="75">
        <v>0.66209089421117362</v>
      </c>
      <c r="M51" s="5">
        <v>1.3630000000000001E-3</v>
      </c>
      <c r="N51">
        <v>3</v>
      </c>
    </row>
    <row r="52" spans="1:14" x14ac:dyDescent="0.3">
      <c r="A52" s="176"/>
      <c r="B52" t="s">
        <v>5</v>
      </c>
      <c r="C52" s="75">
        <v>0.60325706911131138</v>
      </c>
      <c r="M52" s="5">
        <v>4.2570000000000004E-3</v>
      </c>
      <c r="N52">
        <v>4</v>
      </c>
    </row>
    <row r="53" spans="1:14" ht="15" thickBot="1" x14ac:dyDescent="0.35">
      <c r="A53" s="177"/>
      <c r="B53" s="79" t="s">
        <v>6</v>
      </c>
      <c r="C53" s="80">
        <v>-4.1865450739600185E-2</v>
      </c>
      <c r="M53" s="5">
        <v>7.1510000000000002E-3</v>
      </c>
      <c r="N53">
        <v>5</v>
      </c>
    </row>
    <row r="54" spans="1:14" ht="15" thickBot="1" x14ac:dyDescent="0.35">
      <c r="M54" s="5">
        <v>1.0045E-2</v>
      </c>
      <c r="N54">
        <v>6</v>
      </c>
    </row>
    <row r="55" spans="1:14" x14ac:dyDescent="0.3">
      <c r="A55" s="175" t="s">
        <v>55</v>
      </c>
      <c r="B55" s="78" t="s">
        <v>7</v>
      </c>
      <c r="C55" s="73" cm="1">
        <f t="array" ref="C55:C59">(MMULT(MMULT((C37:G41),(C31:C35)),C43)-MMULT(MMULT((C37:G41),(C25:C29)),C44))/C46</f>
        <v>16.560878792398587</v>
      </c>
      <c r="M55" s="5">
        <v>1.2939000000000001E-2</v>
      </c>
      <c r="N55">
        <v>7</v>
      </c>
    </row>
    <row r="56" spans="1:14" x14ac:dyDescent="0.3">
      <c r="A56" s="176"/>
      <c r="B56" t="s">
        <v>13</v>
      </c>
      <c r="C56" s="75">
        <v>43.452214926738712</v>
      </c>
      <c r="M56" s="5">
        <v>1.5833E-2</v>
      </c>
      <c r="N56">
        <v>8</v>
      </c>
    </row>
    <row r="57" spans="1:14" x14ac:dyDescent="0.3">
      <c r="A57" s="176"/>
      <c r="B57" t="s">
        <v>4</v>
      </c>
      <c r="C57" s="75">
        <v>-35.399936131424987</v>
      </c>
      <c r="M57" s="5">
        <v>2.1621000000000001E-2</v>
      </c>
      <c r="N57">
        <v>9</v>
      </c>
    </row>
    <row r="58" spans="1:14" x14ac:dyDescent="0.3">
      <c r="A58" s="176"/>
      <c r="B58" t="s">
        <v>5</v>
      </c>
      <c r="C58" s="75">
        <v>-44.751439399302107</v>
      </c>
      <c r="M58" s="5">
        <v>2.4514999999999999E-2</v>
      </c>
      <c r="N58">
        <v>10</v>
      </c>
    </row>
    <row r="59" spans="1:14" ht="15" thickBot="1" x14ac:dyDescent="0.35">
      <c r="A59" s="177"/>
      <c r="B59" s="79" t="s">
        <v>6</v>
      </c>
      <c r="C59" s="80">
        <v>20.138281811589749</v>
      </c>
    </row>
    <row r="61" spans="1:14" x14ac:dyDescent="0.3">
      <c r="B61" t="s">
        <v>38</v>
      </c>
      <c r="C61" s="5">
        <f>((C43*D49*D49)-(2*C44*D49)+C45)/C46</f>
        <v>8.0277332967765517E-3</v>
      </c>
    </row>
    <row r="62" spans="1:14" x14ac:dyDescent="0.3">
      <c r="B62" s="83" t="s">
        <v>56</v>
      </c>
      <c r="C62" s="4">
        <f>C44/C43</f>
        <v>1.1178721871710137E-2</v>
      </c>
      <c r="D62" s="4">
        <f>1/SQRT(C43)</f>
        <v>3.722775870826827E-2</v>
      </c>
    </row>
    <row r="64" spans="1:14" x14ac:dyDescent="0.3">
      <c r="B64" s="20" t="s">
        <v>57</v>
      </c>
      <c r="C64" s="21" t="s">
        <v>38</v>
      </c>
      <c r="D64" s="22" t="s">
        <v>39</v>
      </c>
      <c r="E64" s="20" t="s">
        <v>29</v>
      </c>
      <c r="F64" s="21" t="s">
        <v>7</v>
      </c>
      <c r="G64" s="21" t="s">
        <v>58</v>
      </c>
      <c r="H64" s="21" t="s">
        <v>59</v>
      </c>
      <c r="I64" s="21" t="s">
        <v>5</v>
      </c>
      <c r="J64" s="22" t="s">
        <v>6</v>
      </c>
    </row>
    <row r="65" spans="2:10" x14ac:dyDescent="0.3">
      <c r="B65" s="25">
        <f>F65*C2+C3*G65+H65*C4+C5*I65+J65*C6</f>
        <v>-4.4250000000000079E-3</v>
      </c>
      <c r="C65" s="5">
        <v>1.0478225566353635E-2</v>
      </c>
      <c r="D65" s="26">
        <f>SQRT(C65)</f>
        <v>0.10236320416220682</v>
      </c>
      <c r="E65" s="23"/>
      <c r="F65" s="5">
        <v>-0.23436301146183808</v>
      </c>
      <c r="G65" s="5">
        <v>-0.2546774408282283</v>
      </c>
      <c r="H65" s="5">
        <v>0.81873561159272923</v>
      </c>
      <c r="I65" s="5">
        <v>0.80128218845322319</v>
      </c>
      <c r="J65" s="26">
        <v>-0.13097734775588482</v>
      </c>
    </row>
    <row r="66" spans="2:10" x14ac:dyDescent="0.3">
      <c r="B66" s="25">
        <f>F66*$C$2+$C$3*G66+H66*$C$4+$C$5*I66+J66*$C$6</f>
        <v>-1.5310000000000059E-3</v>
      </c>
      <c r="C66" s="5">
        <v>7.4183095168511475E-3</v>
      </c>
      <c r="D66" s="26">
        <f t="shared" ref="D66:D74" si="1">SQRT(C66)</f>
        <v>8.612960882792367E-2</v>
      </c>
      <c r="E66" s="23"/>
      <c r="F66" s="5">
        <v>-0.18643582823663657</v>
      </c>
      <c r="G66" s="5">
        <v>-0.12892673083024647</v>
      </c>
      <c r="H66" s="5">
        <v>0.71628819642838526</v>
      </c>
      <c r="I66" s="5">
        <v>0.67177152283164288</v>
      </c>
      <c r="J66" s="26">
        <v>-7.2697160193144095E-2</v>
      </c>
    </row>
    <row r="67" spans="2:10" x14ac:dyDescent="0.3">
      <c r="B67" s="25">
        <f t="shared" ref="B67:B74" si="2">F67*$C$2+$C$3*G67+H67*$C$4+$C$5*I67+J67*$C$6</f>
        <v>1.3629999999999957E-3</v>
      </c>
      <c r="C67" s="5">
        <v>4.9839194279141675E-3</v>
      </c>
      <c r="D67" s="26">
        <f t="shared" si="1"/>
        <v>7.0596879732139489E-2</v>
      </c>
      <c r="E67" s="23"/>
      <c r="F67" s="5">
        <v>-0.13850864501143503</v>
      </c>
      <c r="G67" s="5">
        <v>-3.1760208322646477E-3</v>
      </c>
      <c r="H67" s="5">
        <v>0.6138407812640414</v>
      </c>
      <c r="I67" s="5">
        <v>0.54226085721006256</v>
      </c>
      <c r="J67" s="26">
        <v>-1.4416972630403355E-2</v>
      </c>
    </row>
    <row r="68" spans="2:10" x14ac:dyDescent="0.3">
      <c r="B68" s="25">
        <f t="shared" si="2"/>
        <v>4.2569999999999986E-3</v>
      </c>
      <c r="C68" s="5">
        <v>3.1750552995426927E-3</v>
      </c>
      <c r="D68" s="26">
        <f t="shared" si="1"/>
        <v>5.6347629049878334E-2</v>
      </c>
      <c r="E68" s="23"/>
      <c r="F68" s="5">
        <v>-9.0581461786233525E-2</v>
      </c>
      <c r="G68" s="5">
        <v>0.12257468916571719</v>
      </c>
      <c r="H68" s="5">
        <v>0.51139336609969743</v>
      </c>
      <c r="I68" s="5">
        <v>0.41275019158848231</v>
      </c>
      <c r="J68" s="26">
        <v>4.3863214932337385E-2</v>
      </c>
    </row>
    <row r="69" spans="2:10" x14ac:dyDescent="0.3">
      <c r="B69" s="25">
        <f t="shared" si="2"/>
        <v>7.1509999999999994E-3</v>
      </c>
      <c r="C69" s="5">
        <v>1.9917171317367253E-3</v>
      </c>
      <c r="D69" s="26">
        <f t="shared" si="1"/>
        <v>4.4628658188844587E-2</v>
      </c>
      <c r="E69" s="23"/>
      <c r="F69" s="5">
        <v>-4.265427856103203E-2</v>
      </c>
      <c r="G69" s="5">
        <v>0.24832539916369906</v>
      </c>
      <c r="H69" s="5">
        <v>0.40894595093535352</v>
      </c>
      <c r="I69" s="5">
        <v>0.28323952596690199</v>
      </c>
      <c r="J69" s="26">
        <v>0.10214340249507811</v>
      </c>
    </row>
    <row r="70" spans="2:10" x14ac:dyDescent="0.3">
      <c r="B70" s="25">
        <f t="shared" si="2"/>
        <v>1.0045000000000002E-2</v>
      </c>
      <c r="C70" s="5">
        <v>1.4339049244962644E-3</v>
      </c>
      <c r="D70" s="26">
        <f t="shared" si="1"/>
        <v>3.786693708892052E-2</v>
      </c>
      <c r="E70" s="23"/>
      <c r="F70" s="5">
        <v>5.2729046641694921E-3</v>
      </c>
      <c r="G70" s="5">
        <v>0.37407610916168088</v>
      </c>
      <c r="H70" s="5">
        <v>0.30649853577100961</v>
      </c>
      <c r="I70" s="5">
        <v>0.15372886034532168</v>
      </c>
      <c r="J70" s="26">
        <v>0.16042359005781884</v>
      </c>
    </row>
    <row r="71" spans="2:10" x14ac:dyDescent="0.3">
      <c r="B71" s="25">
        <f t="shared" si="2"/>
        <v>1.2939000000000006E-2</v>
      </c>
      <c r="C71" s="5">
        <v>1.5016186778213096E-3</v>
      </c>
      <c r="D71" s="26">
        <f t="shared" si="1"/>
        <v>3.8750724868333877E-2</v>
      </c>
      <c r="E71" s="23"/>
      <c r="F71" s="5">
        <v>5.3200087889371001E-2</v>
      </c>
      <c r="G71" s="5">
        <v>0.49982681915966276</v>
      </c>
      <c r="H71" s="5">
        <v>0.20405112060666569</v>
      </c>
      <c r="I71" s="5">
        <v>2.4218194723741426E-2</v>
      </c>
      <c r="J71" s="26">
        <v>0.21870377762055959</v>
      </c>
    </row>
    <row r="72" spans="2:10" x14ac:dyDescent="0.3">
      <c r="B72" s="25">
        <f t="shared" si="2"/>
        <v>1.5833E-2</v>
      </c>
      <c r="C72" s="5">
        <v>2.1948583917118613E-3</v>
      </c>
      <c r="D72" s="26">
        <f t="shared" si="1"/>
        <v>4.6849315808364385E-2</v>
      </c>
      <c r="E72" s="23"/>
      <c r="F72" s="5">
        <v>0.10112727111457248</v>
      </c>
      <c r="G72" s="5">
        <v>0.62557752915764453</v>
      </c>
      <c r="H72" s="5">
        <v>0.10160370544232178</v>
      </c>
      <c r="I72" s="5">
        <v>-0.10529247089783889</v>
      </c>
      <c r="J72" s="26">
        <v>0.27698396518330032</v>
      </c>
    </row>
    <row r="73" spans="2:10" x14ac:dyDescent="0.3">
      <c r="B73" s="25">
        <f t="shared" si="2"/>
        <v>2.1621000000000008E-2</v>
      </c>
      <c r="C73" s="5">
        <v>5.4579157011894848E-3</v>
      </c>
      <c r="D73" s="26">
        <f t="shared" si="1"/>
        <v>7.3877707741845142E-2</v>
      </c>
      <c r="E73" s="23"/>
      <c r="F73" s="5">
        <v>0.19698163756497555</v>
      </c>
      <c r="G73" s="5">
        <v>0.87707894915360829</v>
      </c>
      <c r="H73" s="5">
        <v>-0.10329112488636605</v>
      </c>
      <c r="I73" s="5">
        <v>-0.36431380214099951</v>
      </c>
      <c r="J73" s="26">
        <v>0.39354434030878183</v>
      </c>
    </row>
    <row r="74" spans="2:10" x14ac:dyDescent="0.3">
      <c r="B74" s="27">
        <f t="shared" si="2"/>
        <v>2.4515000000000006E-2</v>
      </c>
      <c r="C74" s="28">
        <v>8.0277332967765517E-3</v>
      </c>
      <c r="D74" s="29">
        <f t="shared" si="1"/>
        <v>8.9597618811978211E-2</v>
      </c>
      <c r="E74" s="71"/>
      <c r="F74" s="28">
        <v>0.24490882079017701</v>
      </c>
      <c r="G74" s="28">
        <v>1.0028296591515899</v>
      </c>
      <c r="H74" s="28">
        <v>-0.20573854005070991</v>
      </c>
      <c r="I74" s="28">
        <v>-0.49382446776257971</v>
      </c>
      <c r="J74" s="29">
        <v>0.4518245278715225</v>
      </c>
    </row>
  </sheetData>
  <mergeCells count="2">
    <mergeCell ref="A49:A53"/>
    <mergeCell ref="A55:A5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6BEF-15DB-4B4F-9609-956651839C8C}">
  <dimension ref="A2:N44"/>
  <sheetViews>
    <sheetView topLeftCell="A6" workbookViewId="0">
      <selection activeCell="B19" sqref="B19"/>
    </sheetView>
  </sheetViews>
  <sheetFormatPr defaultRowHeight="14.4" x14ac:dyDescent="0.3"/>
  <cols>
    <col min="2" max="2" width="34.44140625" customWidth="1"/>
    <col min="3" max="3" width="10.88671875" customWidth="1"/>
    <col min="4" max="4" width="21.6640625" customWidth="1"/>
    <col min="5" max="5" width="16.109375" customWidth="1"/>
    <col min="6" max="6" width="13.109375" customWidth="1"/>
    <col min="7" max="7" width="18.33203125" customWidth="1"/>
    <col min="8" max="8" width="9.109375" bestFit="1" customWidth="1"/>
    <col min="9" max="9" width="18.109375" bestFit="1" customWidth="1"/>
    <col min="10" max="10" width="9.109375" bestFit="1" customWidth="1"/>
    <col min="12" max="12" width="15.109375" customWidth="1"/>
  </cols>
  <sheetData>
    <row r="2" spans="2:11" x14ac:dyDescent="0.3">
      <c r="B2" s="30" t="s">
        <v>18</v>
      </c>
      <c r="C2" s="68">
        <v>2.1621169946770352E-2</v>
      </c>
    </row>
    <row r="3" spans="2:11" x14ac:dyDescent="0.3">
      <c r="B3" s="32" t="s">
        <v>19</v>
      </c>
      <c r="C3" s="69">
        <v>1.4317675829852678E-2</v>
      </c>
    </row>
    <row r="4" spans="2:11" x14ac:dyDescent="0.3">
      <c r="B4" s="32" t="s">
        <v>20</v>
      </c>
      <c r="C4" s="69">
        <v>8.8334802790644117E-3</v>
      </c>
    </row>
    <row r="5" spans="2:11" x14ac:dyDescent="0.3">
      <c r="B5" s="32" t="s">
        <v>21</v>
      </c>
      <c r="C5" s="69">
        <v>-1.5309349758267255E-3</v>
      </c>
    </row>
    <row r="6" spans="2:11" x14ac:dyDescent="0.3">
      <c r="B6" s="34" t="s">
        <v>22</v>
      </c>
      <c r="C6" s="70">
        <v>1.3109002750260737E-2</v>
      </c>
    </row>
    <row r="7" spans="2:11" x14ac:dyDescent="0.3">
      <c r="E7" s="14" t="s">
        <v>12</v>
      </c>
    </row>
    <row r="8" spans="2:11" x14ac:dyDescent="0.3">
      <c r="F8" s="92" t="s">
        <v>7</v>
      </c>
      <c r="G8" s="92" t="s">
        <v>13</v>
      </c>
      <c r="H8" s="92" t="s">
        <v>4</v>
      </c>
      <c r="I8" s="92" t="s">
        <v>5</v>
      </c>
      <c r="J8" s="92" t="s">
        <v>6</v>
      </c>
    </row>
    <row r="9" spans="2:11" x14ac:dyDescent="0.3">
      <c r="B9" s="36" t="s">
        <v>23</v>
      </c>
      <c r="C9" s="37">
        <v>2.0842490773238641E-2</v>
      </c>
      <c r="E9" s="92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2:11" x14ac:dyDescent="0.3">
      <c r="B10" s="38" t="s">
        <v>24</v>
      </c>
      <c r="C10" s="39">
        <v>2.8918859277023809E-3</v>
      </c>
      <c r="E10" s="92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2:11" x14ac:dyDescent="0.3">
      <c r="B11" s="38" t="s">
        <v>25</v>
      </c>
      <c r="C11" s="39">
        <v>3.8312056504527583E-3</v>
      </c>
      <c r="E11" s="92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2:11" x14ac:dyDescent="0.3">
      <c r="B12" s="38" t="s">
        <v>26</v>
      </c>
      <c r="C12" s="39">
        <v>1.1320029492750884E-2</v>
      </c>
      <c r="E12" s="92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2:11" x14ac:dyDescent="0.3">
      <c r="B13" s="40" t="s">
        <v>27</v>
      </c>
      <c r="C13" s="41">
        <v>9.3913833633057133E-3</v>
      </c>
      <c r="E13" s="92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5" spans="2:11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</row>
    <row r="16" spans="2:11" x14ac:dyDescent="0.3">
      <c r="B16" s="44" t="s">
        <v>30</v>
      </c>
      <c r="C16" s="45">
        <f t="shared" ref="C16:C19" si="0">SQRT(C10)</f>
        <v>5.3776258029937157E-2</v>
      </c>
      <c r="F16" s="5">
        <v>0.10805417134182532</v>
      </c>
      <c r="G16" s="5">
        <v>0.63359425973631334</v>
      </c>
      <c r="H16" s="5">
        <v>2.8156174923007728E-2</v>
      </c>
      <c r="I16" s="5">
        <v>0</v>
      </c>
      <c r="J16" s="5">
        <v>0.23019539399885369</v>
      </c>
      <c r="K16">
        <f>SUM(F16:J16)</f>
        <v>1</v>
      </c>
    </row>
    <row r="17" spans="1:14" x14ac:dyDescent="0.3">
      <c r="B17" s="44" t="s">
        <v>31</v>
      </c>
      <c r="C17" s="45">
        <f t="shared" si="0"/>
        <v>6.1896733762394587E-2</v>
      </c>
    </row>
    <row r="18" spans="1:14" ht="43.2" x14ac:dyDescent="0.3">
      <c r="B18" s="44" t="s">
        <v>32</v>
      </c>
      <c r="C18" s="45">
        <f t="shared" si="0"/>
        <v>0.10639562722570362</v>
      </c>
      <c r="E18" s="48" t="s">
        <v>33</v>
      </c>
      <c r="F18">
        <f>F16*C2+G16*C3+C4*H16+C5*I16+C6*J16</f>
        <v>1.4674203889543665E-2</v>
      </c>
    </row>
    <row r="19" spans="1:14" x14ac:dyDescent="0.3">
      <c r="B19" s="46" t="s">
        <v>144</v>
      </c>
      <c r="C19" s="47">
        <f t="shared" si="0"/>
        <v>9.6909150049444323E-2</v>
      </c>
    </row>
    <row r="20" spans="1:14" ht="28.8" x14ac:dyDescent="0.3">
      <c r="E20" s="48" t="s">
        <v>34</v>
      </c>
      <c r="F20" cm="1">
        <f t="array" ref="F20">MMULT(MMULT(F16:J16,F9:J13),TRANSPOSE(F16:J16))</f>
        <v>1.9272373616445481E-3</v>
      </c>
    </row>
    <row r="22" spans="1:14" ht="28.8" x14ac:dyDescent="0.3">
      <c r="E22" s="48" t="s">
        <v>39</v>
      </c>
      <c r="F22">
        <f>SQRT(F20)</f>
        <v>4.390031163493658E-2</v>
      </c>
    </row>
    <row r="24" spans="1:14" x14ac:dyDescent="0.3">
      <c r="B24" t="s">
        <v>36</v>
      </c>
      <c r="C24" s="5">
        <v>-1.531E-3</v>
      </c>
    </row>
    <row r="25" spans="1:14" ht="15" thickBot="1" x14ac:dyDescent="0.35"/>
    <row r="26" spans="1:14" ht="15" thickBot="1" x14ac:dyDescent="0.35">
      <c r="F26" s="72" t="s">
        <v>29</v>
      </c>
      <c r="G26" s="78"/>
      <c r="H26" s="78"/>
      <c r="I26" s="78"/>
      <c r="J26" s="110"/>
    </row>
    <row r="27" spans="1:14" x14ac:dyDescent="0.3">
      <c r="B27" s="72" t="s">
        <v>37</v>
      </c>
      <c r="C27" s="78" t="s">
        <v>38</v>
      </c>
      <c r="D27" s="110" t="s">
        <v>39</v>
      </c>
      <c r="F27" s="74" t="s">
        <v>7</v>
      </c>
      <c r="G27" t="s">
        <v>13</v>
      </c>
      <c r="H27" t="s">
        <v>4</v>
      </c>
      <c r="I27" t="s">
        <v>5</v>
      </c>
      <c r="J27" s="81" t="s">
        <v>6</v>
      </c>
      <c r="L27" t="s">
        <v>40</v>
      </c>
    </row>
    <row r="28" spans="1:14" x14ac:dyDescent="0.3">
      <c r="A28">
        <v>1</v>
      </c>
      <c r="B28" s="111">
        <v>-1.531E-3</v>
      </c>
      <c r="C28" s="5">
        <v>1.132003879689783E-2</v>
      </c>
      <c r="D28" s="75">
        <f>SQRT(C28)</f>
        <v>0.10639567094998663</v>
      </c>
      <c r="F28" s="111">
        <v>0</v>
      </c>
      <c r="G28" s="5">
        <v>-1.9999999999464891E-7</v>
      </c>
      <c r="H28" s="5">
        <v>-1.9999999999464891E-7</v>
      </c>
      <c r="I28" s="5">
        <v>1.0000004</v>
      </c>
      <c r="J28" s="75">
        <v>0</v>
      </c>
      <c r="L28">
        <v>-1.531E-3</v>
      </c>
    </row>
    <row r="29" spans="1:14" x14ac:dyDescent="0.3">
      <c r="A29">
        <v>2</v>
      </c>
      <c r="B29" s="111">
        <v>7.8419997205497684E-4</v>
      </c>
      <c r="C29" s="5">
        <v>6.9978382190535411E-3</v>
      </c>
      <c r="D29" s="75">
        <f>SQRT(C29)</f>
        <v>8.3653082543642954E-2</v>
      </c>
      <c r="F29" s="111">
        <v>0</v>
      </c>
      <c r="G29" s="5">
        <v>-1.9999999999464891E-7</v>
      </c>
      <c r="H29" s="5">
        <v>0.22337373220465206</v>
      </c>
      <c r="I29" s="5">
        <v>0.77662646779534794</v>
      </c>
      <c r="J29" s="75">
        <v>0</v>
      </c>
      <c r="L29" s="5">
        <v>7.8419999999999998E-4</v>
      </c>
      <c r="N29">
        <v>2.3151999999999999E-3</v>
      </c>
    </row>
    <row r="30" spans="1:14" x14ac:dyDescent="0.3">
      <c r="A30">
        <v>3</v>
      </c>
      <c r="B30" s="111">
        <v>3.0991999468564725E-3</v>
      </c>
      <c r="C30" s="5">
        <v>4.1998011356150179E-3</v>
      </c>
      <c r="D30" s="75">
        <f t="shared" ref="D30:D37" si="1">SQRT(C30)</f>
        <v>6.4805872693877192E-2</v>
      </c>
      <c r="F30" s="111">
        <v>0</v>
      </c>
      <c r="G30" s="5">
        <v>-1.9999999999464891E-7</v>
      </c>
      <c r="H30" s="5">
        <v>0.44673413584237864</v>
      </c>
      <c r="I30" s="5">
        <v>0.55326606415762136</v>
      </c>
      <c r="J30" s="75">
        <v>0</v>
      </c>
      <c r="L30" s="5">
        <v>3.0991999999999999E-3</v>
      </c>
    </row>
    <row r="31" spans="1:14" x14ac:dyDescent="0.3">
      <c r="A31">
        <v>4</v>
      </c>
      <c r="B31" s="111">
        <v>5.4142006036024962E-3</v>
      </c>
      <c r="C31" s="5">
        <v>2.7465291723942809E-3</v>
      </c>
      <c r="D31" s="75">
        <f t="shared" si="1"/>
        <v>5.2407338917314632E-2</v>
      </c>
      <c r="F31" s="111">
        <v>0</v>
      </c>
      <c r="G31" s="5">
        <v>7.7231271791862302E-2</v>
      </c>
      <c r="H31" s="5">
        <v>0.49140622638396714</v>
      </c>
      <c r="I31" s="5">
        <v>0.38846692824254936</v>
      </c>
      <c r="J31" s="75">
        <v>4.2895611397627972E-2</v>
      </c>
      <c r="L31" s="5">
        <v>5.4142000000000001E-3</v>
      </c>
    </row>
    <row r="32" spans="1:14" x14ac:dyDescent="0.3">
      <c r="A32">
        <v>5</v>
      </c>
      <c r="B32" s="111">
        <v>7.7291999704588079E-3</v>
      </c>
      <c r="C32" s="5">
        <v>1.8559467395993551E-3</v>
      </c>
      <c r="D32" s="75">
        <f t="shared" si="1"/>
        <v>4.3080700314634568E-2</v>
      </c>
      <c r="F32" s="111">
        <v>0</v>
      </c>
      <c r="G32" s="5">
        <v>0.22915763990101642</v>
      </c>
      <c r="H32" s="5">
        <v>0.3981939635945026</v>
      </c>
      <c r="I32" s="5">
        <v>0.2701030759061071</v>
      </c>
      <c r="J32" s="75">
        <v>0.10254532059837376</v>
      </c>
      <c r="L32" s="5">
        <v>7.7292000000000003E-3</v>
      </c>
    </row>
    <row r="33" spans="1:12" x14ac:dyDescent="0.3">
      <c r="A33">
        <v>6</v>
      </c>
      <c r="B33" s="111">
        <v>1.004420007015349E-2</v>
      </c>
      <c r="C33" s="5">
        <v>1.433972671068717E-3</v>
      </c>
      <c r="D33" s="75">
        <f t="shared" si="1"/>
        <v>3.7867831612976167E-2</v>
      </c>
      <c r="F33" s="111">
        <v>5.2593897773321862E-3</v>
      </c>
      <c r="G33" s="5">
        <v>0.3740419493720713</v>
      </c>
      <c r="H33" s="5">
        <v>0.30652631095667515</v>
      </c>
      <c r="I33" s="5">
        <v>0.15376470800501033</v>
      </c>
      <c r="J33" s="75">
        <v>0.16040763884397499</v>
      </c>
      <c r="L33" s="5">
        <v>1.00442E-2</v>
      </c>
    </row>
    <row r="34" spans="1:12" x14ac:dyDescent="0.3">
      <c r="A34">
        <v>7</v>
      </c>
      <c r="B34" s="111">
        <v>1.2359199970546693E-2</v>
      </c>
      <c r="C34" s="5">
        <v>1.4379456433368622E-3</v>
      </c>
      <c r="D34" s="75">
        <f t="shared" si="1"/>
        <v>3.7920253735132921E-2</v>
      </c>
      <c r="F34" s="111">
        <v>4.3598057262914255E-2</v>
      </c>
      <c r="G34" s="5">
        <v>0.47463331984241397</v>
      </c>
      <c r="H34" s="5">
        <v>0.22457604409722248</v>
      </c>
      <c r="I34" s="5">
        <v>5.0165058052885049E-2</v>
      </c>
      <c r="J34" s="75">
        <v>0.2070275207445644</v>
      </c>
      <c r="L34" s="5">
        <v>1.2359200000000001E-2</v>
      </c>
    </row>
    <row r="35" spans="1:12" x14ac:dyDescent="0.3">
      <c r="A35">
        <v>8</v>
      </c>
      <c r="B35" s="111">
        <v>1.4674200003362E-2</v>
      </c>
      <c r="C35" s="5">
        <v>1.9272351377094773E-3</v>
      </c>
      <c r="D35" s="75">
        <f t="shared" si="1"/>
        <v>4.3900286305552462E-2</v>
      </c>
      <c r="F35" s="111">
        <v>0.10805449288756946</v>
      </c>
      <c r="G35" s="5">
        <v>0.63376494346493839</v>
      </c>
      <c r="H35" s="5">
        <v>2.8205975634417443E-2</v>
      </c>
      <c r="I35" s="5">
        <v>0</v>
      </c>
      <c r="J35" s="75">
        <v>0.22997458801307477</v>
      </c>
      <c r="L35" s="5">
        <v>1.46742E-2</v>
      </c>
    </row>
    <row r="36" spans="1:12" x14ac:dyDescent="0.3">
      <c r="A36">
        <v>9</v>
      </c>
      <c r="B36" s="111">
        <v>1.698900001768875E-2</v>
      </c>
      <c r="C36" s="5">
        <v>4.4774345136789013E-3</v>
      </c>
      <c r="D36" s="75">
        <f t="shared" si="1"/>
        <v>6.6913634736717909E-2</v>
      </c>
      <c r="F36" s="111">
        <v>0.38662407030930268</v>
      </c>
      <c r="G36" s="5">
        <v>0.48730177639018041</v>
      </c>
      <c r="H36" s="5">
        <v>0</v>
      </c>
      <c r="I36" s="5">
        <v>0</v>
      </c>
      <c r="J36" s="75">
        <v>0.12607415330051683</v>
      </c>
      <c r="L36" s="5">
        <v>1.6989000000000001E-2</v>
      </c>
    </row>
    <row r="37" spans="1:12" ht="15" thickBot="1" x14ac:dyDescent="0.35">
      <c r="A37">
        <v>10</v>
      </c>
      <c r="B37" s="112">
        <v>2.1621016974074387E-2</v>
      </c>
      <c r="C37" s="113">
        <v>2.0841687632713372E-2</v>
      </c>
      <c r="D37" s="80">
        <f t="shared" si="1"/>
        <v>0.14436650453866842</v>
      </c>
      <c r="F37" s="112">
        <v>0.99997907245842133</v>
      </c>
      <c r="G37" s="113">
        <v>2.0918565320000104E-5</v>
      </c>
      <c r="H37" s="113">
        <v>0</v>
      </c>
      <c r="I37" s="113">
        <v>0</v>
      </c>
      <c r="J37" s="80">
        <v>0</v>
      </c>
      <c r="L37" s="5">
        <v>2.1621000000000001E-2</v>
      </c>
    </row>
    <row r="38" spans="1:12" x14ac:dyDescent="0.3">
      <c r="B38" s="5"/>
      <c r="C38" s="5"/>
      <c r="D38" s="84"/>
      <c r="F38" s="7"/>
      <c r="G38" s="7"/>
      <c r="H38" s="7"/>
      <c r="I38" s="7"/>
      <c r="J38" s="7"/>
      <c r="L38" s="5"/>
    </row>
    <row r="39" spans="1:12" x14ac:dyDescent="0.3">
      <c r="B39" t="s">
        <v>41</v>
      </c>
      <c r="C39" s="5">
        <v>1.9272351377094773E-3</v>
      </c>
    </row>
    <row r="40" spans="1:12" ht="15" thickBot="1" x14ac:dyDescent="0.35">
      <c r="B40" s="166"/>
    </row>
    <row r="41" spans="1:12" x14ac:dyDescent="0.3">
      <c r="B41" s="72" t="s">
        <v>62</v>
      </c>
      <c r="C41" s="78" t="s">
        <v>61</v>
      </c>
      <c r="D41" s="110" t="s">
        <v>35</v>
      </c>
      <c r="E41" s="72" t="s">
        <v>29</v>
      </c>
      <c r="F41" s="78" t="s">
        <v>7</v>
      </c>
      <c r="G41" s="78" t="s">
        <v>13</v>
      </c>
      <c r="H41" s="78" t="s">
        <v>4</v>
      </c>
      <c r="I41" s="78" t="s">
        <v>5</v>
      </c>
      <c r="J41" s="110" t="s">
        <v>6</v>
      </c>
      <c r="L41" t="s">
        <v>42</v>
      </c>
    </row>
    <row r="42" spans="1:12" x14ac:dyDescent="0.3">
      <c r="B42" s="111">
        <v>1.1178721270245568E-2</v>
      </c>
      <c r="C42" s="5">
        <v>1.3859060184411415E-3</v>
      </c>
      <c r="D42" s="75">
        <v>3.7227758708269582E-2</v>
      </c>
      <c r="E42" s="74"/>
      <c r="F42" s="5">
        <v>2.4048266148343996E-2</v>
      </c>
      <c r="G42" s="5">
        <v>0.4233388992123101</v>
      </c>
      <c r="H42" s="5">
        <v>0.26636485947831617</v>
      </c>
      <c r="I42" s="5">
        <v>0.10299317929164541</v>
      </c>
      <c r="J42" s="75">
        <v>0.18325479586938448</v>
      </c>
      <c r="L42">
        <v>1.3859061204517056E-3</v>
      </c>
    </row>
    <row r="43" spans="1:12" x14ac:dyDescent="0.3">
      <c r="B43" s="111">
        <v>1.2939007643349537E-2</v>
      </c>
      <c r="C43" s="5">
        <v>1.501619744196621E-3</v>
      </c>
      <c r="D43" s="75">
        <v>3.8750738627755486E-2</v>
      </c>
      <c r="E43" s="74"/>
      <c r="F43" s="5">
        <v>5.3203672069178566E-2</v>
      </c>
      <c r="G43" s="5">
        <v>0.499918757767436</v>
      </c>
      <c r="H43" s="5">
        <v>0.20394161598279356</v>
      </c>
      <c r="I43" s="5">
        <v>2.4259327343276169E-2</v>
      </c>
      <c r="J43" s="75">
        <v>0.2186766268373157</v>
      </c>
      <c r="L43">
        <v>1.5016186739449597E-3</v>
      </c>
    </row>
    <row r="44" spans="1:12" ht="15" thickBot="1" x14ac:dyDescent="0.35">
      <c r="B44" s="112">
        <v>1.4674203889543665E-2</v>
      </c>
      <c r="C44" s="113">
        <v>1.9272373616445481E-3</v>
      </c>
      <c r="D44" s="80">
        <v>4.390031163493658E-2</v>
      </c>
      <c r="E44" s="76"/>
      <c r="F44" s="113">
        <v>0.10805417134182532</v>
      </c>
      <c r="G44" s="113">
        <v>0.63359425973631334</v>
      </c>
      <c r="H44" s="113">
        <v>2.8156174923007728E-2</v>
      </c>
      <c r="I44" s="113">
        <v>0</v>
      </c>
      <c r="J44" s="80">
        <v>0.23019539399885369</v>
      </c>
      <c r="L44">
        <v>1.9272351377094773E-3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DAE7-5C69-4804-9F31-CB7E8AD35BFC}">
  <dimension ref="A1:T122"/>
  <sheetViews>
    <sheetView topLeftCell="A8" workbookViewId="0">
      <selection activeCell="B19" sqref="B19"/>
    </sheetView>
  </sheetViews>
  <sheetFormatPr defaultRowHeight="14.4" x14ac:dyDescent="0.3"/>
  <cols>
    <col min="2" max="2" width="33.21875" customWidth="1"/>
    <col min="3" max="3" width="12" bestFit="1" customWidth="1"/>
    <col min="4" max="4" width="20.77734375" bestFit="1" customWidth="1"/>
    <col min="5" max="5" width="30.44140625" bestFit="1" customWidth="1"/>
    <col min="6" max="6" width="13.5546875" customWidth="1"/>
    <col min="7" max="7" width="17.5546875" customWidth="1"/>
    <col min="12" max="12" width="16.88671875" bestFit="1" customWidth="1"/>
    <col min="15" max="15" width="10.77734375" style="2" customWidth="1"/>
    <col min="16" max="16" width="12.21875" customWidth="1"/>
    <col min="17" max="17" width="10.44140625" customWidth="1"/>
    <col min="18" max="18" width="16.6640625" bestFit="1" customWidth="1"/>
    <col min="19" max="19" width="8.44140625" bestFit="1" customWidth="1"/>
    <col min="20" max="20" width="17.88671875" bestFit="1" customWidth="1"/>
  </cols>
  <sheetData>
    <row r="1" spans="2:20" x14ac:dyDescent="0.3">
      <c r="O1" s="178" t="s">
        <v>63</v>
      </c>
      <c r="P1" s="178"/>
    </row>
    <row r="2" spans="2:20" x14ac:dyDescent="0.3">
      <c r="B2" s="30" t="s">
        <v>18</v>
      </c>
      <c r="C2" s="31">
        <v>2.1621169946770352E-2</v>
      </c>
      <c r="O2" s="2" t="s">
        <v>8</v>
      </c>
      <c r="P2" t="s">
        <v>9</v>
      </c>
      <c r="R2" s="12" t="s">
        <v>62</v>
      </c>
      <c r="S2" s="87" t="s">
        <v>113</v>
      </c>
      <c r="T2" s="87" t="s">
        <v>135</v>
      </c>
    </row>
    <row r="3" spans="2:20" x14ac:dyDescent="0.3">
      <c r="B3" s="32" t="s">
        <v>19</v>
      </c>
      <c r="C3" s="33">
        <v>1.4317675829852678E-2</v>
      </c>
      <c r="O3" s="2">
        <v>41395</v>
      </c>
      <c r="P3">
        <v>2981760010</v>
      </c>
      <c r="Q3">
        <f t="shared" ref="Q3:Q34" si="0">(P4-P3)/P3</f>
        <v>-2.4200442610403109E-2</v>
      </c>
      <c r="R3" s="5">
        <f>AVERAGE(Q3:Q121)</f>
        <v>1.378884467263585E-2</v>
      </c>
      <c r="S3" s="5">
        <f>COVAR(Q3:Q121,Q3:Q121)</f>
        <v>2.7003721852300031E-3</v>
      </c>
      <c r="T3" s="5">
        <f>SQRT(S3)</f>
        <v>5.1965105457701159E-2</v>
      </c>
    </row>
    <row r="4" spans="2:20" x14ac:dyDescent="0.3">
      <c r="B4" s="32" t="s">
        <v>20</v>
      </c>
      <c r="C4" s="33">
        <v>8.8334802790644117E-3</v>
      </c>
      <c r="O4" s="2">
        <v>41426</v>
      </c>
      <c r="P4">
        <v>2909600098</v>
      </c>
      <c r="Q4">
        <f t="shared" si="0"/>
        <v>6.2066894733793072E-2</v>
      </c>
    </row>
    <row r="5" spans="2:20" x14ac:dyDescent="0.3">
      <c r="B5" s="32" t="s">
        <v>21</v>
      </c>
      <c r="C5" s="33">
        <v>-1.5309349758267255E-3</v>
      </c>
      <c r="O5" s="2">
        <v>41456</v>
      </c>
      <c r="P5">
        <v>3090189941</v>
      </c>
      <c r="Q5">
        <f t="shared" si="0"/>
        <v>-5.3006068600104867E-3</v>
      </c>
    </row>
    <row r="6" spans="2:20" x14ac:dyDescent="0.3">
      <c r="B6" s="34" t="s">
        <v>22</v>
      </c>
      <c r="C6" s="35">
        <v>1.3109002750260737E-2</v>
      </c>
      <c r="O6" s="2">
        <v>41487</v>
      </c>
      <c r="P6">
        <v>3073810059</v>
      </c>
      <c r="Q6">
        <f t="shared" si="0"/>
        <v>4.697424018677792E-2</v>
      </c>
    </row>
    <row r="7" spans="2:20" x14ac:dyDescent="0.3">
      <c r="E7" s="14" t="s">
        <v>12</v>
      </c>
      <c r="O7" s="2">
        <v>41518</v>
      </c>
      <c r="P7">
        <v>3218199951</v>
      </c>
      <c r="Q7">
        <f t="shared" si="0"/>
        <v>4.9571198629354524E-2</v>
      </c>
    </row>
    <row r="8" spans="2:20" x14ac:dyDescent="0.3">
      <c r="F8" s="15" t="s">
        <v>7</v>
      </c>
      <c r="G8" s="15" t="s">
        <v>13</v>
      </c>
      <c r="H8" s="15" t="s">
        <v>4</v>
      </c>
      <c r="I8" s="15" t="s">
        <v>5</v>
      </c>
      <c r="J8" s="15" t="s">
        <v>6</v>
      </c>
      <c r="O8" s="2">
        <v>41548</v>
      </c>
      <c r="P8">
        <v>3377729980</v>
      </c>
      <c r="Q8">
        <f t="shared" si="0"/>
        <v>3.2592921474439471E-2</v>
      </c>
    </row>
    <row r="9" spans="2:20" x14ac:dyDescent="0.3">
      <c r="B9" s="36" t="s">
        <v>23</v>
      </c>
      <c r="C9" s="37">
        <v>2.0842490773238641E-2</v>
      </c>
      <c r="E9" s="15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  <c r="O9" s="2">
        <v>41579</v>
      </c>
      <c r="P9">
        <v>3487820068</v>
      </c>
      <c r="Q9">
        <f t="shared" si="0"/>
        <v>2.9869640626197579E-2</v>
      </c>
    </row>
    <row r="10" spans="2:20" x14ac:dyDescent="0.3">
      <c r="B10" s="38" t="s">
        <v>24</v>
      </c>
      <c r="C10" s="39">
        <v>2.8918859277023809E-3</v>
      </c>
      <c r="E10" s="15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  <c r="O10" s="2">
        <v>41609</v>
      </c>
      <c r="P10">
        <v>3592000000</v>
      </c>
      <c r="Q10">
        <f t="shared" si="0"/>
        <v>-1.9510043986636971E-2</v>
      </c>
    </row>
    <row r="11" spans="2:20" x14ac:dyDescent="0.3">
      <c r="B11" s="38" t="s">
        <v>25</v>
      </c>
      <c r="C11" s="39">
        <v>3.8312056504527583E-3</v>
      </c>
      <c r="E11" s="15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  <c r="O11" s="2">
        <v>41640</v>
      </c>
      <c r="P11">
        <v>3521919922</v>
      </c>
      <c r="Q11">
        <f t="shared" si="0"/>
        <v>4.9456029625196005E-2</v>
      </c>
    </row>
    <row r="12" spans="2:20" x14ac:dyDescent="0.3">
      <c r="B12" s="38" t="s">
        <v>26</v>
      </c>
      <c r="C12" s="39">
        <v>1.1320029492750884E-2</v>
      </c>
      <c r="E12" s="15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  <c r="O12" s="2">
        <v>41671</v>
      </c>
      <c r="P12">
        <v>3696100098</v>
      </c>
      <c r="Q12">
        <f t="shared" si="0"/>
        <v>-2.7152973496119854E-2</v>
      </c>
    </row>
    <row r="13" spans="2:20" x14ac:dyDescent="0.3">
      <c r="B13" s="40" t="s">
        <v>27</v>
      </c>
      <c r="C13" s="41">
        <v>9.3913833633057133E-3</v>
      </c>
      <c r="E13" s="15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  <c r="O13" s="2">
        <v>41699</v>
      </c>
      <c r="P13">
        <v>3595739990</v>
      </c>
      <c r="Q13">
        <f t="shared" si="0"/>
        <v>-3.8156179362679671E-3</v>
      </c>
    </row>
    <row r="14" spans="2:20" x14ac:dyDescent="0.3">
      <c r="O14" s="2">
        <v>41730</v>
      </c>
      <c r="P14">
        <v>3582020020</v>
      </c>
      <c r="Q14">
        <f t="shared" si="0"/>
        <v>4.3215852266509668E-2</v>
      </c>
    </row>
    <row r="15" spans="2:20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  <c r="O15" s="2">
        <v>41760</v>
      </c>
      <c r="P15">
        <v>3736820068</v>
      </c>
      <c r="Q15">
        <f t="shared" si="0"/>
        <v>3.014860495017016E-2</v>
      </c>
    </row>
    <row r="16" spans="2:20" x14ac:dyDescent="0.3">
      <c r="B16" s="44" t="s">
        <v>30</v>
      </c>
      <c r="C16" s="45">
        <f>SQRT(C10)</f>
        <v>5.3776258029937157E-2</v>
      </c>
      <c r="F16" s="7">
        <v>0.10112560816174154</v>
      </c>
      <c r="G16" s="7">
        <v>0.62558008457781678</v>
      </c>
      <c r="H16" s="7">
        <v>0.10171159697606801</v>
      </c>
      <c r="I16" s="7">
        <v>-0.10532583494658686</v>
      </c>
      <c r="J16" s="7">
        <v>0.27690854523096053</v>
      </c>
      <c r="K16" s="16">
        <f>SUM(F16:J16)</f>
        <v>1</v>
      </c>
      <c r="O16" s="2">
        <v>41791</v>
      </c>
      <c r="P16">
        <v>3849479980</v>
      </c>
      <c r="Q16">
        <f t="shared" si="0"/>
        <v>1.1175540650558209E-2</v>
      </c>
    </row>
    <row r="17" spans="1:17" x14ac:dyDescent="0.3">
      <c r="B17" s="44" t="s">
        <v>31</v>
      </c>
      <c r="C17" s="45">
        <f>SQRT(C11)</f>
        <v>6.1896733762394587E-2</v>
      </c>
      <c r="O17" s="2">
        <v>41821</v>
      </c>
      <c r="P17">
        <v>3892500000</v>
      </c>
      <c r="Q17">
        <f t="shared" si="0"/>
        <v>4.8827247013487479E-2</v>
      </c>
    </row>
    <row r="18" spans="1:17" ht="43.2" x14ac:dyDescent="0.3">
      <c r="B18" s="44" t="s">
        <v>32</v>
      </c>
      <c r="C18" s="45">
        <f>SQRT(C12)</f>
        <v>0.10639562722570362</v>
      </c>
      <c r="E18" s="48" t="s">
        <v>33</v>
      </c>
      <c r="F18" s="5">
        <f>F16*C2+G16*C3+H16*C4+C5*I16+C6*J16</f>
        <v>1.5833016088254014E-2</v>
      </c>
      <c r="O18" s="2">
        <v>41852</v>
      </c>
      <c r="P18">
        <v>4082560059</v>
      </c>
      <c r="Q18">
        <f t="shared" si="0"/>
        <v>-8.1101337203867453E-3</v>
      </c>
    </row>
    <row r="19" spans="1:17" x14ac:dyDescent="0.3">
      <c r="B19" s="46" t="s">
        <v>144</v>
      </c>
      <c r="C19" s="47">
        <f>SQRT(C13)</f>
        <v>9.6909150049444323E-2</v>
      </c>
      <c r="O19" s="2">
        <v>41883</v>
      </c>
      <c r="P19">
        <v>4049449951</v>
      </c>
      <c r="Q19">
        <f t="shared" si="0"/>
        <v>2.6857971160537997E-2</v>
      </c>
    </row>
    <row r="20" spans="1:17" ht="28.8" x14ac:dyDescent="0.3">
      <c r="E20" s="48" t="s">
        <v>34</v>
      </c>
      <c r="F20" s="5" cm="1">
        <f t="array" ref="F20">MMULT(MMULT(F16:J16,F9:J13),TRANSPOSE(F16:J16))</f>
        <v>2.1948641243225995E-3</v>
      </c>
      <c r="O20" s="2">
        <v>41913</v>
      </c>
      <c r="P20">
        <v>4158209961</v>
      </c>
      <c r="Q20">
        <f t="shared" si="0"/>
        <v>4.3186871198012601E-2</v>
      </c>
    </row>
    <row r="21" spans="1:17" x14ac:dyDescent="0.3">
      <c r="O21" s="2">
        <v>41944</v>
      </c>
      <c r="P21">
        <v>4337790039</v>
      </c>
      <c r="Q21">
        <f t="shared" si="0"/>
        <v>-2.3401375605399604E-2</v>
      </c>
    </row>
    <row r="22" spans="1:17" x14ac:dyDescent="0.3">
      <c r="E22" t="s">
        <v>39</v>
      </c>
      <c r="F22" s="5">
        <f>SQRT(F20)</f>
        <v>4.6849376989695386E-2</v>
      </c>
      <c r="O22" s="2">
        <v>41974</v>
      </c>
      <c r="P22">
        <v>4236279785</v>
      </c>
      <c r="Q22">
        <f t="shared" si="0"/>
        <v>-2.0737442628568029E-2</v>
      </c>
    </row>
    <row r="23" spans="1:17" x14ac:dyDescent="0.3">
      <c r="O23" s="2">
        <v>42005</v>
      </c>
      <c r="P23">
        <v>4148430176</v>
      </c>
      <c r="Q23">
        <f t="shared" si="0"/>
        <v>7.0445863519820268E-2</v>
      </c>
    </row>
    <row r="24" spans="1:17" x14ac:dyDescent="0.3">
      <c r="B24" t="s">
        <v>36</v>
      </c>
      <c r="C24">
        <v>2.4514999999999999E-2</v>
      </c>
      <c r="O24" s="2">
        <v>42036</v>
      </c>
      <c r="P24">
        <v>4440669922</v>
      </c>
      <c r="Q24">
        <f t="shared" si="0"/>
        <v>-2.4090955391662637E-2</v>
      </c>
    </row>
    <row r="25" spans="1:17" x14ac:dyDescent="0.3">
      <c r="O25" s="2">
        <v>42064</v>
      </c>
      <c r="P25">
        <v>4333689941</v>
      </c>
      <c r="Q25">
        <f t="shared" si="0"/>
        <v>1.8589253060732523E-2</v>
      </c>
    </row>
    <row r="26" spans="1:17" x14ac:dyDescent="0.3">
      <c r="F26" s="172" t="s">
        <v>29</v>
      </c>
      <c r="G26" s="173"/>
      <c r="H26" s="173"/>
      <c r="I26" s="173"/>
      <c r="J26" s="174"/>
      <c r="O26" s="2">
        <v>42095</v>
      </c>
      <c r="P26">
        <v>4414250000</v>
      </c>
      <c r="Q26">
        <f t="shared" si="0"/>
        <v>2.1294670668856545E-2</v>
      </c>
    </row>
    <row r="27" spans="1:17" x14ac:dyDescent="0.3">
      <c r="B27" s="20" t="s">
        <v>37</v>
      </c>
      <c r="C27" s="21" t="s">
        <v>38</v>
      </c>
      <c r="D27" s="22" t="s">
        <v>39</v>
      </c>
      <c r="F27" s="23" t="s">
        <v>7</v>
      </c>
      <c r="G27" t="s">
        <v>13</v>
      </c>
      <c r="H27" t="s">
        <v>4</v>
      </c>
      <c r="I27" t="s">
        <v>5</v>
      </c>
      <c r="J27" s="24" t="s">
        <v>6</v>
      </c>
      <c r="L27" t="s">
        <v>40</v>
      </c>
      <c r="O27" s="2">
        <v>42125</v>
      </c>
      <c r="P27">
        <v>4508250000</v>
      </c>
      <c r="Q27">
        <f t="shared" si="0"/>
        <v>-2.4730268729551377E-2</v>
      </c>
    </row>
    <row r="28" spans="1:17" x14ac:dyDescent="0.3">
      <c r="A28">
        <v>1</v>
      </c>
      <c r="B28" s="25">
        <v>-4.4249999964856663E-3</v>
      </c>
      <c r="C28" s="5">
        <v>1.047822556225852E-2</v>
      </c>
      <c r="D28" s="26">
        <v>0.10236320414220396</v>
      </c>
      <c r="F28" s="25">
        <v>-0.23436310919319323</v>
      </c>
      <c r="G28" s="5">
        <v>-0.25467730409518979</v>
      </c>
      <c r="H28" s="5">
        <v>0.81873542193746074</v>
      </c>
      <c r="I28" s="5">
        <v>0.80128219806534851</v>
      </c>
      <c r="J28" s="26">
        <v>-0.13097720671442595</v>
      </c>
      <c r="L28">
        <v>-4.4250000000000001E-3</v>
      </c>
      <c r="O28" s="2">
        <v>42156</v>
      </c>
      <c r="P28">
        <v>4396759766</v>
      </c>
      <c r="Q28">
        <f t="shared" si="0"/>
        <v>4.3702726604690274E-2</v>
      </c>
    </row>
    <row r="29" spans="1:17" x14ac:dyDescent="0.3">
      <c r="A29">
        <v>2</v>
      </c>
      <c r="B29" s="25">
        <v>-1.5310000167614753E-3</v>
      </c>
      <c r="C29" s="5">
        <v>7.4183095327623565E-3</v>
      </c>
      <c r="D29" s="26">
        <v>8.6129608920291492E-2</v>
      </c>
      <c r="F29" s="25">
        <v>-0.18643587079621249</v>
      </c>
      <c r="G29" s="5">
        <v>-0.12892651444518222</v>
      </c>
      <c r="H29" s="5">
        <v>0.71628797196481386</v>
      </c>
      <c r="I29" s="5">
        <v>0.67177158264918402</v>
      </c>
      <c r="J29" s="26">
        <v>-7.2697169372602982E-2</v>
      </c>
      <c r="L29">
        <v>-1.531E-3</v>
      </c>
      <c r="O29" s="2">
        <v>42186</v>
      </c>
      <c r="P29">
        <v>4588910156</v>
      </c>
      <c r="Q29">
        <f t="shared" si="0"/>
        <v>-6.849776250010331E-2</v>
      </c>
    </row>
    <row r="30" spans="1:17" x14ac:dyDescent="0.3">
      <c r="A30">
        <v>3</v>
      </c>
      <c r="B30" s="25">
        <v>1.3629999711574281E-3</v>
      </c>
      <c r="C30" s="5">
        <v>4.9839194490593486E-3</v>
      </c>
      <c r="D30" s="26">
        <v>7.0596879881899513E-2</v>
      </c>
      <c r="F30" s="25">
        <v>-0.13850870195040565</v>
      </c>
      <c r="G30" s="5">
        <v>-3.1757979336067632E-3</v>
      </c>
      <c r="H30" s="5">
        <v>0.61384074204732153</v>
      </c>
      <c r="I30" s="5">
        <v>0.54226085592946227</v>
      </c>
      <c r="J30" s="26">
        <v>-1.4417098092771469E-2</v>
      </c>
      <c r="L30">
        <v>1.3630000000000001E-3</v>
      </c>
      <c r="O30" s="2">
        <v>42217</v>
      </c>
      <c r="P30">
        <v>4274580078</v>
      </c>
      <c r="Q30">
        <f t="shared" si="0"/>
        <v>-2.1878176871997296E-2</v>
      </c>
    </row>
    <row r="31" spans="1:17" x14ac:dyDescent="0.3">
      <c r="A31">
        <v>4</v>
      </c>
      <c r="B31" s="25">
        <v>4.2569999735574092E-3</v>
      </c>
      <c r="C31" s="5">
        <v>3.175055313213149E-3</v>
      </c>
      <c r="D31" s="26">
        <v>5.634762917118296E-2</v>
      </c>
      <c r="F31" s="25">
        <v>-9.0581606288398342E-2</v>
      </c>
      <c r="G31" s="5">
        <v>0.122574891786406</v>
      </c>
      <c r="H31" s="5">
        <v>0.51139325944176794</v>
      </c>
      <c r="I31" s="5">
        <v>0.41275015725340031</v>
      </c>
      <c r="J31" s="26">
        <v>4.3863297806824131E-2</v>
      </c>
      <c r="L31">
        <v>4.2570000000000004E-3</v>
      </c>
      <c r="O31" s="2">
        <v>42248</v>
      </c>
      <c r="P31">
        <v>4181060059</v>
      </c>
      <c r="Q31">
        <f t="shared" si="0"/>
        <v>0.11187833047102373</v>
      </c>
    </row>
    <row r="32" spans="1:17" x14ac:dyDescent="0.3">
      <c r="A32">
        <v>5</v>
      </c>
      <c r="B32" s="25">
        <v>7.1509999708360842E-3</v>
      </c>
      <c r="C32" s="5">
        <v>1.9917171405098911E-3</v>
      </c>
      <c r="D32" s="26">
        <v>4.462865828713531E-2</v>
      </c>
      <c r="F32" s="25">
        <v>-4.2654296754784549E-2</v>
      </c>
      <c r="G32" s="5">
        <v>0.24832551487677126</v>
      </c>
      <c r="H32" s="5">
        <v>0.40894586061688021</v>
      </c>
      <c r="I32" s="5">
        <v>0.283239553310842</v>
      </c>
      <c r="J32" s="26">
        <v>0.10214336795029096</v>
      </c>
      <c r="L32">
        <v>7.1510000000000002E-3</v>
      </c>
      <c r="O32" s="2">
        <v>42278</v>
      </c>
      <c r="P32">
        <v>4648830078</v>
      </c>
      <c r="Q32">
        <f t="shared" si="0"/>
        <v>3.3728245035674976E-3</v>
      </c>
    </row>
    <row r="33" spans="1:17" x14ac:dyDescent="0.3">
      <c r="A33">
        <v>6</v>
      </c>
      <c r="B33" s="25">
        <v>1.0044999970675388E-2</v>
      </c>
      <c r="C33" s="5">
        <v>1.4339049269794174E-3</v>
      </c>
      <c r="D33" s="26">
        <v>3.7866937121708397E-2</v>
      </c>
      <c r="F33" s="25">
        <v>5.2728881831143309E-3</v>
      </c>
      <c r="G33" s="5">
        <v>0.37407620582863926</v>
      </c>
      <c r="H33" s="5">
        <v>0.30649853139532957</v>
      </c>
      <c r="I33" s="5">
        <v>0.15372886202443944</v>
      </c>
      <c r="J33" s="26">
        <v>0.16042351256847753</v>
      </c>
      <c r="L33">
        <v>1.0045E-2</v>
      </c>
      <c r="O33" s="2">
        <v>42309</v>
      </c>
      <c r="P33">
        <v>4664509766</v>
      </c>
      <c r="Q33">
        <f t="shared" si="0"/>
        <v>-1.5272718800863585E-2</v>
      </c>
    </row>
    <row r="34" spans="1:17" x14ac:dyDescent="0.3">
      <c r="A34">
        <v>7</v>
      </c>
      <c r="B34" s="25">
        <v>1.2938999970514498E-2</v>
      </c>
      <c r="C34" s="5">
        <v>1.5016186739449597E-3</v>
      </c>
      <c r="D34" s="26">
        <v>3.8750724818317393E-2</v>
      </c>
      <c r="F34" s="25">
        <v>5.3200055589958467E-2</v>
      </c>
      <c r="G34" s="5">
        <v>0.49982689971609329</v>
      </c>
      <c r="H34" s="5">
        <v>0.20405117038878481</v>
      </c>
      <c r="I34" s="5">
        <v>2.4218170069901512E-2</v>
      </c>
      <c r="J34" s="26">
        <v>0.21870370423526181</v>
      </c>
      <c r="L34">
        <v>1.2939000000000001E-2</v>
      </c>
      <c r="O34" s="2">
        <v>42339</v>
      </c>
      <c r="P34">
        <v>4593270020</v>
      </c>
      <c r="Q34">
        <f t="shared" si="0"/>
        <v>-6.8382676531609607E-2</v>
      </c>
    </row>
    <row r="35" spans="1:17" x14ac:dyDescent="0.3">
      <c r="A35">
        <v>8</v>
      </c>
      <c r="B35" s="25">
        <v>1.5833011240432671E-2</v>
      </c>
      <c r="C35" s="5">
        <v>2.1948622990787354E-3</v>
      </c>
      <c r="D35" s="26">
        <v>4.6849357509775258E-2</v>
      </c>
      <c r="F35" s="25">
        <v>0.10112745891475761</v>
      </c>
      <c r="G35" s="5">
        <v>0.62557802698188514</v>
      </c>
      <c r="H35" s="5">
        <v>0.10160342142584096</v>
      </c>
      <c r="I35" s="5">
        <v>-0.10529300545069241</v>
      </c>
      <c r="J35" s="26">
        <v>0.27698409812820912</v>
      </c>
      <c r="L35">
        <v>1.5833E-2</v>
      </c>
      <c r="O35" s="2">
        <v>42370</v>
      </c>
      <c r="P35">
        <v>4279169922</v>
      </c>
      <c r="Q35">
        <f t="shared" ref="Q35:Q66" si="1">(P36-P35)/P35</f>
        <v>-1.8239473174162024E-2</v>
      </c>
    </row>
    <row r="36" spans="1:17" x14ac:dyDescent="0.3">
      <c r="A36">
        <v>9</v>
      </c>
      <c r="B36" s="25">
        <v>2.1621011240111267E-2</v>
      </c>
      <c r="C36" s="5">
        <v>5.4579244674507954E-3</v>
      </c>
      <c r="D36" s="26">
        <v>7.387776707136455E-2</v>
      </c>
      <c r="F36" s="25">
        <v>0.19698183567366689</v>
      </c>
      <c r="G36" s="5">
        <v>0.87707930565558456</v>
      </c>
      <c r="H36" s="5">
        <v>-0.10329121823908423</v>
      </c>
      <c r="I36" s="5">
        <v>-0.36431439802816296</v>
      </c>
      <c r="J36" s="26">
        <v>0.39354447493799588</v>
      </c>
      <c r="L36">
        <v>2.1621000000000001E-2</v>
      </c>
      <c r="O36" s="2">
        <v>42401</v>
      </c>
      <c r="P36">
        <v>4201120117</v>
      </c>
      <c r="Q36">
        <f t="shared" si="1"/>
        <v>6.7253501716528039E-2</v>
      </c>
    </row>
    <row r="37" spans="1:17" x14ac:dyDescent="0.3">
      <c r="A37">
        <v>10</v>
      </c>
      <c r="B37" s="27">
        <v>2.4515011239950556E-2</v>
      </c>
      <c r="C37" s="28">
        <v>8.0277444923810698E-3</v>
      </c>
      <c r="D37" s="29">
        <v>8.9597681289088446E-2</v>
      </c>
      <c r="F37" s="27">
        <v>0.24490899599349403</v>
      </c>
      <c r="G37" s="28">
        <v>1.0028299737210282</v>
      </c>
      <c r="H37" s="28">
        <v>-0.20573852838613016</v>
      </c>
      <c r="I37" s="28">
        <v>-0.49382511108848415</v>
      </c>
      <c r="J37" s="29">
        <v>0.45182466976009217</v>
      </c>
      <c r="L37">
        <v>2.4514999999999999E-2</v>
      </c>
      <c r="O37" s="2">
        <v>42430</v>
      </c>
      <c r="P37">
        <v>4483660156</v>
      </c>
      <c r="Q37">
        <f t="shared" si="1"/>
        <v>-3.1750923586279046E-2</v>
      </c>
    </row>
    <row r="38" spans="1:17" x14ac:dyDescent="0.3">
      <c r="O38" s="2">
        <v>42461</v>
      </c>
      <c r="P38">
        <v>4341299805</v>
      </c>
      <c r="Q38">
        <f t="shared" si="1"/>
        <v>4.2058908668253105E-2</v>
      </c>
    </row>
    <row r="39" spans="1:17" x14ac:dyDescent="0.3">
      <c r="O39" s="2">
        <v>42491</v>
      </c>
      <c r="P39">
        <v>4523890137</v>
      </c>
      <c r="Q39">
        <f t="shared" si="1"/>
        <v>-2.3473147840504246E-2</v>
      </c>
    </row>
    <row r="40" spans="1:17" x14ac:dyDescent="0.3">
      <c r="B40" t="s">
        <v>41</v>
      </c>
      <c r="C40">
        <v>2.1948622990787354E-3</v>
      </c>
      <c r="O40" s="2">
        <v>42522</v>
      </c>
      <c r="P40">
        <v>4417700195</v>
      </c>
      <c r="Q40">
        <f t="shared" si="1"/>
        <v>7.0744905992879401E-2</v>
      </c>
    </row>
    <row r="41" spans="1:17" x14ac:dyDescent="0.3">
      <c r="O41" s="2">
        <v>42552</v>
      </c>
      <c r="P41">
        <v>4730229980</v>
      </c>
      <c r="Q41">
        <f t="shared" si="1"/>
        <v>8.6295645608334675E-3</v>
      </c>
    </row>
    <row r="42" spans="1:17" x14ac:dyDescent="0.3">
      <c r="O42" s="2">
        <v>42583</v>
      </c>
      <c r="P42">
        <v>4771049805</v>
      </c>
      <c r="Q42">
        <f t="shared" si="1"/>
        <v>2.1934457672256474E-2</v>
      </c>
    </row>
    <row r="43" spans="1:17" x14ac:dyDescent="0.3">
      <c r="B43" s="20" t="s">
        <v>37</v>
      </c>
      <c r="C43" s="21" t="s">
        <v>38</v>
      </c>
      <c r="D43" s="22" t="s">
        <v>39</v>
      </c>
      <c r="E43" s="20" t="s">
        <v>29</v>
      </c>
      <c r="F43" s="21" t="s">
        <v>7</v>
      </c>
      <c r="G43" s="21" t="s">
        <v>13</v>
      </c>
      <c r="H43" s="21" t="s">
        <v>4</v>
      </c>
      <c r="I43" s="21" t="s">
        <v>5</v>
      </c>
      <c r="J43" s="22" t="s">
        <v>6</v>
      </c>
      <c r="L43" t="s">
        <v>42</v>
      </c>
      <c r="O43" s="2">
        <v>42614</v>
      </c>
      <c r="P43">
        <v>4875700195</v>
      </c>
      <c r="Q43">
        <f t="shared" si="1"/>
        <v>-1.5265535620161322E-2</v>
      </c>
    </row>
    <row r="44" spans="1:17" x14ac:dyDescent="0.3">
      <c r="B44" s="23">
        <v>1.1178722106586264E-2</v>
      </c>
      <c r="C44">
        <v>1.3859061204517056E-3</v>
      </c>
      <c r="D44" s="24">
        <v>3.7227760078356924E-2</v>
      </c>
      <c r="E44" s="23"/>
      <c r="F44">
        <v>2.4048305925928156E-2</v>
      </c>
      <c r="G44">
        <v>0.42333872964008401</v>
      </c>
      <c r="H44">
        <v>0.26636518090909467</v>
      </c>
      <c r="I44">
        <v>0.1029930703743263</v>
      </c>
      <c r="J44" s="24">
        <v>0.18325474995324298</v>
      </c>
      <c r="L44">
        <v>1.3859061204517056E-3</v>
      </c>
      <c r="O44" s="2">
        <v>42644</v>
      </c>
      <c r="P44">
        <v>4801270020</v>
      </c>
      <c r="Q44">
        <f t="shared" si="1"/>
        <v>1.9869823942957492E-3</v>
      </c>
    </row>
    <row r="45" spans="1:17" x14ac:dyDescent="0.3">
      <c r="B45" s="23">
        <v>1.2939001068294827E-2</v>
      </c>
      <c r="C45">
        <v>1.5016191899972033E-3</v>
      </c>
      <c r="D45" s="24">
        <v>3.8750731476930901E-2</v>
      </c>
      <c r="E45" s="23"/>
      <c r="F45">
        <v>5.3167874343832175E-2</v>
      </c>
      <c r="G45">
        <v>0.49986283191117936</v>
      </c>
      <c r="H45">
        <v>0.20421866673426109</v>
      </c>
      <c r="I45">
        <v>2.4153433863479189E-2</v>
      </c>
      <c r="J45" s="24">
        <v>0.21859719314796047</v>
      </c>
      <c r="L45">
        <v>1.5016186739449597E-3</v>
      </c>
      <c r="O45" s="2">
        <v>42675</v>
      </c>
      <c r="P45">
        <v>4810810059</v>
      </c>
      <c r="Q45">
        <f t="shared" si="1"/>
        <v>1.0977373322233672E-2</v>
      </c>
    </row>
    <row r="46" spans="1:17" x14ac:dyDescent="0.3">
      <c r="B46" s="71">
        <v>1.5833016088254014E-2</v>
      </c>
      <c r="C46" s="167">
        <v>2.1948641243225995E-3</v>
      </c>
      <c r="D46" s="51">
        <v>4.6849376989695386E-2</v>
      </c>
      <c r="E46" s="71"/>
      <c r="F46" s="167">
        <v>0.10112560816174154</v>
      </c>
      <c r="G46" s="167">
        <v>0.62558008457781678</v>
      </c>
      <c r="H46" s="167">
        <v>0.10171159697606801</v>
      </c>
      <c r="I46" s="167">
        <v>-0.10532583494658686</v>
      </c>
      <c r="J46" s="51">
        <v>0.27690854523096053</v>
      </c>
      <c r="L46">
        <v>2.1948622990787354E-3</v>
      </c>
      <c r="O46" s="2">
        <v>42705</v>
      </c>
      <c r="P46">
        <v>4863620117</v>
      </c>
      <c r="Q46">
        <f t="shared" si="1"/>
        <v>5.2049686634685004E-2</v>
      </c>
    </row>
    <row r="47" spans="1:17" x14ac:dyDescent="0.3">
      <c r="O47" s="2">
        <v>42736</v>
      </c>
      <c r="P47">
        <v>5116770020</v>
      </c>
      <c r="Q47">
        <f t="shared" si="1"/>
        <v>4.1733366589729981E-2</v>
      </c>
    </row>
    <row r="48" spans="1:17" x14ac:dyDescent="0.3">
      <c r="O48" s="2">
        <v>42767</v>
      </c>
      <c r="P48">
        <v>5330310059</v>
      </c>
      <c r="Q48">
        <f t="shared" si="1"/>
        <v>1.9871249482224539E-2</v>
      </c>
    </row>
    <row r="49" spans="15:17" x14ac:dyDescent="0.3">
      <c r="O49" s="2">
        <v>42795</v>
      </c>
      <c r="P49">
        <v>5436229980</v>
      </c>
      <c r="Q49">
        <f t="shared" si="1"/>
        <v>2.7095948026834581E-2</v>
      </c>
    </row>
    <row r="50" spans="15:17" x14ac:dyDescent="0.3">
      <c r="O50" s="2">
        <v>42826</v>
      </c>
      <c r="P50">
        <v>5583529785</v>
      </c>
      <c r="Q50">
        <f t="shared" si="1"/>
        <v>3.6763486164514123E-2</v>
      </c>
    </row>
    <row r="51" spans="15:17" x14ac:dyDescent="0.3">
      <c r="O51" s="2">
        <v>42856</v>
      </c>
      <c r="P51">
        <v>5788799805</v>
      </c>
      <c r="Q51">
        <f t="shared" si="1"/>
        <v>-2.4509378071332352E-2</v>
      </c>
    </row>
    <row r="52" spans="15:17" x14ac:dyDescent="0.3">
      <c r="O52" s="2">
        <v>42887</v>
      </c>
      <c r="P52">
        <v>5646919922</v>
      </c>
      <c r="Q52">
        <f t="shared" si="1"/>
        <v>4.1334065158361917E-2</v>
      </c>
    </row>
    <row r="53" spans="15:17" x14ac:dyDescent="0.3">
      <c r="O53" s="2">
        <v>42917</v>
      </c>
      <c r="P53">
        <v>5880330078</v>
      </c>
      <c r="Q53">
        <f t="shared" si="1"/>
        <v>1.8412235123512737E-2</v>
      </c>
    </row>
    <row r="54" spans="15:17" x14ac:dyDescent="0.3">
      <c r="O54" s="2">
        <v>42948</v>
      </c>
      <c r="P54">
        <v>5988600098</v>
      </c>
      <c r="Q54">
        <f t="shared" si="1"/>
        <v>-1.5529995070310337E-3</v>
      </c>
    </row>
    <row r="55" spans="15:17" x14ac:dyDescent="0.3">
      <c r="O55" s="2">
        <v>42979</v>
      </c>
      <c r="P55">
        <v>5979299805</v>
      </c>
      <c r="Q55">
        <f t="shared" si="1"/>
        <v>4.5032071108867908E-2</v>
      </c>
    </row>
    <row r="56" spans="15:17" x14ac:dyDescent="0.3">
      <c r="O56" s="2">
        <v>43009</v>
      </c>
      <c r="P56">
        <v>6248560059</v>
      </c>
      <c r="Q56">
        <f t="shared" si="1"/>
        <v>1.8724313905166226E-2</v>
      </c>
    </row>
    <row r="57" spans="15:17" x14ac:dyDescent="0.3">
      <c r="O57" s="2">
        <v>43040</v>
      </c>
      <c r="P57">
        <v>6365560059</v>
      </c>
      <c r="Q57">
        <f t="shared" si="1"/>
        <v>4.8479415344402452E-3</v>
      </c>
    </row>
    <row r="58" spans="15:17" x14ac:dyDescent="0.3">
      <c r="O58" s="2">
        <v>43070</v>
      </c>
      <c r="P58">
        <v>6396419922</v>
      </c>
      <c r="Q58">
        <f t="shared" si="1"/>
        <v>8.6543772727621746E-2</v>
      </c>
    </row>
    <row r="59" spans="15:17" x14ac:dyDescent="0.3">
      <c r="O59" s="2">
        <v>43101</v>
      </c>
      <c r="P59">
        <v>6949990234</v>
      </c>
      <c r="Q59">
        <f t="shared" si="1"/>
        <v>-1.3751143351606614E-2</v>
      </c>
    </row>
    <row r="60" spans="15:17" x14ac:dyDescent="0.3">
      <c r="O60" s="2">
        <v>43132</v>
      </c>
      <c r="P60">
        <v>6854419922</v>
      </c>
      <c r="Q60">
        <f t="shared" si="1"/>
        <v>-3.9870629770266355E-2</v>
      </c>
    </row>
    <row r="61" spans="15:17" x14ac:dyDescent="0.3">
      <c r="O61" s="2">
        <v>43160</v>
      </c>
      <c r="P61">
        <v>6581129883</v>
      </c>
      <c r="Q61">
        <f t="shared" si="1"/>
        <v>3.7136390611484304E-3</v>
      </c>
    </row>
    <row r="62" spans="15:17" x14ac:dyDescent="0.3">
      <c r="O62" s="2">
        <v>43191</v>
      </c>
      <c r="P62">
        <v>6605569824</v>
      </c>
      <c r="Q62">
        <f t="shared" si="1"/>
        <v>5.4826482143018822E-2</v>
      </c>
    </row>
    <row r="63" spans="15:17" x14ac:dyDescent="0.3">
      <c r="O63" s="2">
        <v>43221</v>
      </c>
      <c r="P63">
        <v>6967729980</v>
      </c>
      <c r="Q63">
        <f t="shared" si="1"/>
        <v>1.0486891026164593E-2</v>
      </c>
    </row>
    <row r="64" spans="15:17" x14ac:dyDescent="0.3">
      <c r="O64" s="2">
        <v>43252</v>
      </c>
      <c r="P64">
        <v>7040799805</v>
      </c>
      <c r="Q64">
        <f t="shared" si="1"/>
        <v>2.7153190020292019E-2</v>
      </c>
    </row>
    <row r="65" spans="15:17" x14ac:dyDescent="0.3">
      <c r="O65" s="2">
        <v>43282</v>
      </c>
      <c r="P65">
        <v>7231979980</v>
      </c>
      <c r="Q65">
        <f t="shared" si="1"/>
        <v>5.8430723836157522E-2</v>
      </c>
    </row>
    <row r="66" spans="15:17" x14ac:dyDescent="0.3">
      <c r="O66" s="2">
        <v>43313</v>
      </c>
      <c r="P66">
        <v>7654549805</v>
      </c>
      <c r="Q66">
        <f t="shared" si="1"/>
        <v>-3.5142371119499171E-3</v>
      </c>
    </row>
    <row r="67" spans="15:17" x14ac:dyDescent="0.3">
      <c r="O67" s="2">
        <v>43344</v>
      </c>
      <c r="P67">
        <v>7627649902</v>
      </c>
      <c r="Q67">
        <f t="shared" ref="Q67:Q98" si="2">(P68-P67)/P67</f>
        <v>-8.6599386768761014E-2</v>
      </c>
    </row>
    <row r="68" spans="15:17" x14ac:dyDescent="0.3">
      <c r="O68" s="2">
        <v>43374</v>
      </c>
      <c r="P68">
        <v>6967100098</v>
      </c>
      <c r="Q68">
        <f t="shared" si="2"/>
        <v>-2.5965368296047698E-3</v>
      </c>
    </row>
    <row r="69" spans="15:17" x14ac:dyDescent="0.3">
      <c r="O69" s="2">
        <v>43405</v>
      </c>
      <c r="P69">
        <v>6949009766</v>
      </c>
      <c r="Q69">
        <f t="shared" si="2"/>
        <v>-8.9083131531750973E-2</v>
      </c>
    </row>
    <row r="70" spans="15:17" x14ac:dyDescent="0.3">
      <c r="O70" s="2">
        <v>43435</v>
      </c>
      <c r="P70">
        <v>6329970215</v>
      </c>
      <c r="Q70">
        <f t="shared" si="2"/>
        <v>9.11330716269413E-2</v>
      </c>
    </row>
    <row r="71" spans="15:17" x14ac:dyDescent="0.3">
      <c r="O71" s="2">
        <v>43466</v>
      </c>
      <c r="P71">
        <v>6906839844</v>
      </c>
      <c r="Q71">
        <f t="shared" si="2"/>
        <v>2.760885517935574E-2</v>
      </c>
    </row>
    <row r="72" spans="15:17" x14ac:dyDescent="0.3">
      <c r="O72" s="2">
        <v>43497</v>
      </c>
      <c r="P72">
        <v>7097529785</v>
      </c>
      <c r="Q72">
        <f t="shared" si="2"/>
        <v>3.962508696960685E-2</v>
      </c>
    </row>
    <row r="73" spans="15:17" x14ac:dyDescent="0.3">
      <c r="O73" s="2">
        <v>43525</v>
      </c>
      <c r="P73">
        <v>7378770020</v>
      </c>
      <c r="Q73">
        <f t="shared" si="2"/>
        <v>5.457412819596185E-2</v>
      </c>
    </row>
    <row r="74" spans="15:17" x14ac:dyDescent="0.3">
      <c r="O74" s="2">
        <v>43556</v>
      </c>
      <c r="P74">
        <v>7781459961</v>
      </c>
      <c r="Q74">
        <f t="shared" si="2"/>
        <v>-8.3981669670638304E-2</v>
      </c>
    </row>
    <row r="75" spans="15:17" x14ac:dyDescent="0.3">
      <c r="O75" s="2">
        <v>43586</v>
      </c>
      <c r="P75">
        <v>7127959961</v>
      </c>
      <c r="Q75">
        <f t="shared" si="2"/>
        <v>7.6195730611792648E-2</v>
      </c>
    </row>
    <row r="76" spans="15:17" x14ac:dyDescent="0.3">
      <c r="O76" s="2">
        <v>43617</v>
      </c>
      <c r="P76">
        <v>7671080078</v>
      </c>
      <c r="Q76">
        <f t="shared" si="2"/>
        <v>2.3164887498649315E-2</v>
      </c>
    </row>
    <row r="77" spans="15:17" x14ac:dyDescent="0.3">
      <c r="O77" s="2">
        <v>43647</v>
      </c>
      <c r="P77">
        <v>7848779785</v>
      </c>
      <c r="Q77">
        <f t="shared" si="2"/>
        <v>-2.0102460423407076E-2</v>
      </c>
    </row>
    <row r="78" spans="15:17" x14ac:dyDescent="0.3">
      <c r="O78" s="2">
        <v>43678</v>
      </c>
      <c r="P78">
        <v>7691000000</v>
      </c>
      <c r="Q78">
        <f t="shared" si="2"/>
        <v>7.5998173189442209E-3</v>
      </c>
    </row>
    <row r="79" spans="15:17" x14ac:dyDescent="0.3">
      <c r="O79" s="2">
        <v>43709</v>
      </c>
      <c r="P79">
        <v>7749450195</v>
      </c>
      <c r="Q79">
        <f t="shared" si="2"/>
        <v>4.3148852445783092E-2</v>
      </c>
    </row>
    <row r="80" spans="15:17" x14ac:dyDescent="0.3">
      <c r="O80" s="2">
        <v>43739</v>
      </c>
      <c r="P80">
        <v>8083830078</v>
      </c>
      <c r="Q80">
        <f t="shared" si="2"/>
        <v>3.9566592433760456E-2</v>
      </c>
    </row>
    <row r="81" spans="15:17" x14ac:dyDescent="0.3">
      <c r="O81" s="2">
        <v>43770</v>
      </c>
      <c r="P81">
        <v>8403679688</v>
      </c>
      <c r="Q81">
        <f t="shared" si="2"/>
        <v>3.9195999517967352E-2</v>
      </c>
    </row>
    <row r="82" spans="15:17" x14ac:dyDescent="0.3">
      <c r="O82" s="2">
        <v>43800</v>
      </c>
      <c r="P82">
        <v>8733070313</v>
      </c>
      <c r="Q82">
        <f t="shared" si="2"/>
        <v>2.9593195031910879E-2</v>
      </c>
    </row>
    <row r="83" spans="15:17" x14ac:dyDescent="0.3">
      <c r="O83" s="2">
        <v>43831</v>
      </c>
      <c r="P83">
        <v>8991509766</v>
      </c>
      <c r="Q83">
        <f t="shared" si="2"/>
        <v>-5.8908870899846165E-2</v>
      </c>
    </row>
    <row r="84" spans="15:17" x14ac:dyDescent="0.3">
      <c r="O84" s="2">
        <v>43862</v>
      </c>
      <c r="P84">
        <v>8461830078</v>
      </c>
      <c r="Q84">
        <f t="shared" si="2"/>
        <v>-7.6618186848918191E-2</v>
      </c>
    </row>
    <row r="85" spans="15:17" x14ac:dyDescent="0.3">
      <c r="O85" s="2">
        <v>43891</v>
      </c>
      <c r="P85">
        <v>7813500000</v>
      </c>
      <c r="Q85">
        <f t="shared" si="2"/>
        <v>0.15191780456901516</v>
      </c>
    </row>
    <row r="86" spans="15:17" x14ac:dyDescent="0.3">
      <c r="O86" s="2">
        <v>43922</v>
      </c>
      <c r="P86">
        <v>9000509766</v>
      </c>
      <c r="Q86">
        <f t="shared" si="2"/>
        <v>6.1665452449885159E-2</v>
      </c>
    </row>
    <row r="87" spans="15:17" x14ac:dyDescent="0.3">
      <c r="O87" s="2">
        <v>43952</v>
      </c>
      <c r="P87">
        <v>9555530273</v>
      </c>
      <c r="Q87">
        <f t="shared" si="2"/>
        <v>6.2928934221377672E-2</v>
      </c>
    </row>
    <row r="88" spans="15:17" x14ac:dyDescent="0.3">
      <c r="O88" s="2">
        <v>43983</v>
      </c>
      <c r="P88">
        <v>10156849609</v>
      </c>
      <c r="Q88">
        <f t="shared" si="2"/>
        <v>7.3746319265797056E-2</v>
      </c>
    </row>
    <row r="89" spans="15:17" x14ac:dyDescent="0.3">
      <c r="O89" s="2">
        <v>44013</v>
      </c>
      <c r="P89">
        <v>10905879883</v>
      </c>
      <c r="Q89">
        <f t="shared" si="2"/>
        <v>0.11047437941051087</v>
      </c>
    </row>
    <row r="90" spans="15:17" x14ac:dyDescent="0.3">
      <c r="O90" s="2">
        <v>44044</v>
      </c>
      <c r="P90">
        <v>12110700195</v>
      </c>
      <c r="Q90">
        <f t="shared" si="2"/>
        <v>-5.7192450795368728E-2</v>
      </c>
    </row>
    <row r="91" spans="15:17" x14ac:dyDescent="0.3">
      <c r="O91" s="2">
        <v>44075</v>
      </c>
      <c r="P91">
        <v>11418059570</v>
      </c>
      <c r="Q91">
        <f t="shared" si="2"/>
        <v>-3.1976481884828704E-2</v>
      </c>
    </row>
    <row r="92" spans="15:17" x14ac:dyDescent="0.3">
      <c r="O92" s="2">
        <v>44105</v>
      </c>
      <c r="P92">
        <v>11052950195</v>
      </c>
      <c r="Q92">
        <f t="shared" si="2"/>
        <v>0.10995888849203306</v>
      </c>
    </row>
    <row r="93" spans="15:17" x14ac:dyDescent="0.3">
      <c r="O93" s="2">
        <v>44136</v>
      </c>
      <c r="P93">
        <v>12268320313</v>
      </c>
      <c r="Q93">
        <f t="shared" si="2"/>
        <v>5.0533401817285925E-2</v>
      </c>
    </row>
    <row r="94" spans="15:17" x14ac:dyDescent="0.3">
      <c r="O94" s="2">
        <v>44166</v>
      </c>
      <c r="P94">
        <v>12888280273</v>
      </c>
      <c r="Q94">
        <f t="shared" si="2"/>
        <v>2.8785539431293214E-3</v>
      </c>
    </row>
    <row r="95" spans="15:17" x14ac:dyDescent="0.3">
      <c r="O95" s="2">
        <v>44197</v>
      </c>
      <c r="P95">
        <v>12925379883</v>
      </c>
      <c r="Q95">
        <f t="shared" si="2"/>
        <v>-1.2331902926090578E-3</v>
      </c>
    </row>
    <row r="96" spans="15:17" x14ac:dyDescent="0.3">
      <c r="O96" s="2">
        <v>44228</v>
      </c>
      <c r="P96">
        <v>12909440430</v>
      </c>
      <c r="Q96">
        <f t="shared" si="2"/>
        <v>1.4098209832321911E-2</v>
      </c>
    </row>
    <row r="97" spans="15:17" x14ac:dyDescent="0.3">
      <c r="O97" s="2">
        <v>44256</v>
      </c>
      <c r="P97">
        <v>13091440430</v>
      </c>
      <c r="Q97">
        <f t="shared" si="2"/>
        <v>5.876506409768692E-2</v>
      </c>
    </row>
    <row r="98" spans="15:17" x14ac:dyDescent="0.3">
      <c r="O98" s="2">
        <v>44287</v>
      </c>
      <c r="P98">
        <v>13860759766</v>
      </c>
      <c r="Q98">
        <f t="shared" si="2"/>
        <v>-1.2571460940216977E-2</v>
      </c>
    </row>
    <row r="99" spans="15:17" x14ac:dyDescent="0.3">
      <c r="O99" s="2">
        <v>44317</v>
      </c>
      <c r="P99">
        <v>13686509766</v>
      </c>
      <c r="Q99">
        <f t="shared" ref="Q99:Q121" si="3">(P100-P99)/P99</f>
        <v>6.3441304894035461E-2</v>
      </c>
    </row>
    <row r="100" spans="15:17" x14ac:dyDescent="0.3">
      <c r="O100" s="2">
        <v>44348</v>
      </c>
      <c r="P100">
        <v>14554799805</v>
      </c>
      <c r="Q100">
        <f t="shared" si="3"/>
        <v>2.7832783097493111E-2</v>
      </c>
    </row>
    <row r="101" spans="15:17" x14ac:dyDescent="0.3">
      <c r="O101" s="2">
        <v>44378</v>
      </c>
      <c r="P101">
        <v>14959900391</v>
      </c>
      <c r="Q101">
        <f t="shared" si="3"/>
        <v>4.1618550841058206E-2</v>
      </c>
    </row>
    <row r="102" spans="15:17" x14ac:dyDescent="0.3">
      <c r="O102" s="2">
        <v>44409</v>
      </c>
      <c r="P102">
        <v>15582509766</v>
      </c>
      <c r="Q102">
        <f t="shared" si="3"/>
        <v>-5.7300759788274022E-2</v>
      </c>
    </row>
    <row r="103" spans="15:17" x14ac:dyDescent="0.3">
      <c r="O103" s="2">
        <v>44440</v>
      </c>
      <c r="P103">
        <v>14689620117</v>
      </c>
      <c r="Q103">
        <f t="shared" si="3"/>
        <v>7.9025162036462218E-2</v>
      </c>
    </row>
    <row r="104" spans="15:17" x14ac:dyDescent="0.3">
      <c r="O104" s="2">
        <v>44470</v>
      </c>
      <c r="P104">
        <v>15850469727</v>
      </c>
      <c r="Q104">
        <f t="shared" si="3"/>
        <v>1.8008942316312466E-2</v>
      </c>
    </row>
    <row r="105" spans="15:17" x14ac:dyDescent="0.3">
      <c r="O105" s="2">
        <v>44501</v>
      </c>
      <c r="P105">
        <v>16135919922</v>
      </c>
      <c r="Q105">
        <f t="shared" si="3"/>
        <v>1.1413055895803794E-2</v>
      </c>
    </row>
    <row r="106" spans="15:17" x14ac:dyDescent="0.3">
      <c r="O106" s="2">
        <v>44531</v>
      </c>
      <c r="P106">
        <v>16320080078</v>
      </c>
      <c r="Q106">
        <f t="shared" si="3"/>
        <v>-8.5173005668875743E-2</v>
      </c>
    </row>
    <row r="107" spans="15:17" x14ac:dyDescent="0.3">
      <c r="O107" s="2">
        <v>44562</v>
      </c>
      <c r="P107">
        <v>14930049805</v>
      </c>
      <c r="Q107">
        <f t="shared" si="3"/>
        <v>-4.6365567700127307E-2</v>
      </c>
    </row>
    <row r="108" spans="15:17" x14ac:dyDescent="0.3">
      <c r="O108" s="2">
        <v>44593</v>
      </c>
      <c r="P108">
        <v>14237809570</v>
      </c>
      <c r="Q108">
        <f t="shared" si="3"/>
        <v>4.2189120527758257E-2</v>
      </c>
    </row>
    <row r="109" spans="15:17" x14ac:dyDescent="0.3">
      <c r="O109" s="2">
        <v>44621</v>
      </c>
      <c r="P109">
        <v>14838490234</v>
      </c>
      <c r="Q109">
        <f t="shared" si="3"/>
        <v>-0.13368546245053248</v>
      </c>
    </row>
    <row r="110" spans="15:17" x14ac:dyDescent="0.3">
      <c r="O110" s="2">
        <v>44652</v>
      </c>
      <c r="P110">
        <v>12854799805</v>
      </c>
      <c r="Q110">
        <f t="shared" si="3"/>
        <v>-1.6546363943938526E-2</v>
      </c>
    </row>
    <row r="111" spans="15:17" x14ac:dyDescent="0.3">
      <c r="O111" s="2">
        <v>44682</v>
      </c>
      <c r="P111">
        <v>12642099609</v>
      </c>
      <c r="Q111">
        <f t="shared" si="3"/>
        <v>-9.0046742013453154E-2</v>
      </c>
    </row>
    <row r="112" spans="15:17" x14ac:dyDescent="0.3">
      <c r="O112" s="2">
        <v>44713</v>
      </c>
      <c r="P112">
        <v>11503719727</v>
      </c>
      <c r="Q112">
        <f t="shared" si="3"/>
        <v>0.12554634798779465</v>
      </c>
    </row>
    <row r="113" spans="15:17" x14ac:dyDescent="0.3">
      <c r="O113" s="2">
        <v>44743</v>
      </c>
      <c r="P113">
        <v>12947969727</v>
      </c>
      <c r="Q113">
        <f t="shared" si="3"/>
        <v>-5.2204281308326231E-2</v>
      </c>
    </row>
    <row r="114" spans="15:17" x14ac:dyDescent="0.3">
      <c r="O114" s="2">
        <v>44774</v>
      </c>
      <c r="P114">
        <v>12272030273</v>
      </c>
      <c r="Q114">
        <f t="shared" si="3"/>
        <v>-0.10599799031313879</v>
      </c>
    </row>
    <row r="115" spans="15:17" x14ac:dyDescent="0.3">
      <c r="O115" s="2">
        <v>44805</v>
      </c>
      <c r="P115">
        <v>10971219727</v>
      </c>
      <c r="Q115">
        <f t="shared" si="3"/>
        <v>3.9589999727292859E-2</v>
      </c>
    </row>
    <row r="116" spans="15:17" x14ac:dyDescent="0.3">
      <c r="O116" s="2">
        <v>44835</v>
      </c>
      <c r="P116">
        <v>11405570313</v>
      </c>
      <c r="Q116">
        <f t="shared" si="3"/>
        <v>5.475300575616205E-2</v>
      </c>
    </row>
    <row r="117" spans="15:17" x14ac:dyDescent="0.3">
      <c r="O117" s="2">
        <v>44866</v>
      </c>
      <c r="P117">
        <v>12030059570</v>
      </c>
      <c r="Q117">
        <f t="shared" si="3"/>
        <v>-9.0631288869004331E-2</v>
      </c>
    </row>
    <row r="118" spans="15:17" x14ac:dyDescent="0.3">
      <c r="O118" s="2">
        <v>44896</v>
      </c>
      <c r="P118">
        <v>10939759766</v>
      </c>
      <c r="Q118">
        <f t="shared" si="3"/>
        <v>0.10623358710416493</v>
      </c>
    </row>
    <row r="119" spans="15:17" x14ac:dyDescent="0.3">
      <c r="O119" s="2">
        <v>44927</v>
      </c>
      <c r="P119">
        <v>12101929688</v>
      </c>
      <c r="Q119">
        <f t="shared" si="3"/>
        <v>-4.9421515859000417E-3</v>
      </c>
    </row>
    <row r="120" spans="15:17" x14ac:dyDescent="0.3">
      <c r="O120" s="2">
        <v>44958</v>
      </c>
      <c r="P120">
        <v>12042120117</v>
      </c>
      <c r="Q120">
        <f t="shared" si="3"/>
        <v>9.4603730981867265E-2</v>
      </c>
    </row>
    <row r="121" spans="15:17" x14ac:dyDescent="0.3">
      <c r="O121" s="2">
        <v>44986</v>
      </c>
      <c r="P121">
        <v>13181349609</v>
      </c>
      <c r="Q121">
        <f t="shared" si="3"/>
        <v>-1.4821634035607803E-2</v>
      </c>
    </row>
    <row r="122" spans="15:17" x14ac:dyDescent="0.3">
      <c r="O122" s="2">
        <v>45017</v>
      </c>
      <c r="P122">
        <v>12985980469</v>
      </c>
    </row>
  </sheetData>
  <mergeCells count="2">
    <mergeCell ref="O1:P1"/>
    <mergeCell ref="F26:J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CFE4-8F89-4B43-A339-B89EB4A78852}">
  <dimension ref="A2:L48"/>
  <sheetViews>
    <sheetView topLeftCell="A16" workbookViewId="0">
      <selection activeCell="E18" sqref="E18"/>
    </sheetView>
  </sheetViews>
  <sheetFormatPr defaultRowHeight="14.4" x14ac:dyDescent="0.3"/>
  <cols>
    <col min="2" max="2" width="32" customWidth="1"/>
    <col min="3" max="3" width="9.109375" bestFit="1" customWidth="1"/>
    <col min="4" max="4" width="20.33203125" customWidth="1"/>
    <col min="5" max="5" width="16.44140625" customWidth="1"/>
    <col min="6" max="6" width="13.21875" customWidth="1"/>
    <col min="7" max="7" width="17" customWidth="1"/>
    <col min="8" max="10" width="9.109375" bestFit="1" customWidth="1"/>
    <col min="12" max="12" width="16.88671875" bestFit="1" customWidth="1"/>
  </cols>
  <sheetData>
    <row r="2" spans="2:11" x14ac:dyDescent="0.3">
      <c r="B2" s="30" t="s">
        <v>18</v>
      </c>
      <c r="C2" s="68">
        <v>2.1621169946770352E-2</v>
      </c>
    </row>
    <row r="3" spans="2:11" x14ac:dyDescent="0.3">
      <c r="B3" s="32" t="s">
        <v>19</v>
      </c>
      <c r="C3" s="69">
        <v>1.4317675829852678E-2</v>
      </c>
    </row>
    <row r="4" spans="2:11" x14ac:dyDescent="0.3">
      <c r="B4" s="32" t="s">
        <v>20</v>
      </c>
      <c r="C4" s="69">
        <v>8.8334802790644117E-3</v>
      </c>
    </row>
    <row r="5" spans="2:11" x14ac:dyDescent="0.3">
      <c r="B5" s="32" t="s">
        <v>21</v>
      </c>
      <c r="C5" s="69">
        <v>-1.5309349758267255E-3</v>
      </c>
    </row>
    <row r="6" spans="2:11" x14ac:dyDescent="0.3">
      <c r="B6" s="34" t="s">
        <v>22</v>
      </c>
      <c r="C6" s="70">
        <v>1.3109002750260737E-2</v>
      </c>
    </row>
    <row r="7" spans="2:11" x14ac:dyDescent="0.3">
      <c r="E7" s="14" t="s">
        <v>12</v>
      </c>
    </row>
    <row r="8" spans="2:11" x14ac:dyDescent="0.3">
      <c r="F8" s="92" t="s">
        <v>7</v>
      </c>
      <c r="G8" s="92" t="s">
        <v>13</v>
      </c>
      <c r="H8" s="92" t="s">
        <v>4</v>
      </c>
      <c r="I8" s="92" t="s">
        <v>5</v>
      </c>
      <c r="J8" s="92" t="s">
        <v>6</v>
      </c>
    </row>
    <row r="9" spans="2:11" x14ac:dyDescent="0.3">
      <c r="B9" s="36" t="s">
        <v>23</v>
      </c>
      <c r="C9" s="37">
        <v>2.0842490773238641E-2</v>
      </c>
      <c r="E9" s="92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2:11" x14ac:dyDescent="0.3">
      <c r="B10" s="38" t="s">
        <v>24</v>
      </c>
      <c r="C10" s="39">
        <v>2.8918859277023809E-3</v>
      </c>
      <c r="E10" s="92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2:11" x14ac:dyDescent="0.3">
      <c r="B11" s="38" t="s">
        <v>25</v>
      </c>
      <c r="C11" s="39">
        <v>3.8312056504527583E-3</v>
      </c>
      <c r="E11" s="92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2:11" x14ac:dyDescent="0.3">
      <c r="B12" s="38" t="s">
        <v>26</v>
      </c>
      <c r="C12" s="39">
        <v>1.1320029492750884E-2</v>
      </c>
      <c r="E12" s="92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2:11" x14ac:dyDescent="0.3">
      <c r="B13" s="40" t="s">
        <v>27</v>
      </c>
      <c r="C13" s="41">
        <v>9.3913833633057133E-3</v>
      </c>
      <c r="E13" s="92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5" spans="2:11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</row>
    <row r="16" spans="2:11" x14ac:dyDescent="0.3">
      <c r="B16" s="44" t="s">
        <v>30</v>
      </c>
      <c r="C16" s="45">
        <f t="shared" ref="C16:C19" si="0">SQRT(C10)</f>
        <v>5.3776258029937157E-2</v>
      </c>
      <c r="F16" s="85">
        <v>0.99997907245842133</v>
      </c>
      <c r="G16" s="85">
        <v>2.0918565320000104E-5</v>
      </c>
      <c r="H16" s="85">
        <v>0</v>
      </c>
      <c r="I16" s="85">
        <v>0</v>
      </c>
      <c r="J16" s="85">
        <v>0</v>
      </c>
      <c r="K16">
        <f>SUM(F16:J16)</f>
        <v>0.99999999102374137</v>
      </c>
    </row>
    <row r="17" spans="1:12" x14ac:dyDescent="0.3">
      <c r="B17" s="44" t="s">
        <v>31</v>
      </c>
      <c r="C17" s="45">
        <f t="shared" si="0"/>
        <v>6.1896733762394587E-2</v>
      </c>
    </row>
    <row r="18" spans="1:12" ht="43.2" x14ac:dyDescent="0.3">
      <c r="B18" s="44" t="s">
        <v>32</v>
      </c>
      <c r="C18" s="45">
        <f t="shared" si="0"/>
        <v>0.10639562722570362</v>
      </c>
      <c r="E18" s="191" t="s">
        <v>33</v>
      </c>
      <c r="F18" s="5">
        <f>F16*C2+G16*C3+C4*H16+C5*I16+C6*J16</f>
        <v>2.1621016974074387E-2</v>
      </c>
    </row>
    <row r="19" spans="1:12" x14ac:dyDescent="0.3">
      <c r="B19" s="46" t="s">
        <v>144</v>
      </c>
      <c r="C19" s="47">
        <f t="shared" si="0"/>
        <v>9.6909150049444323E-2</v>
      </c>
    </row>
    <row r="20" spans="1:12" ht="28.8" x14ac:dyDescent="0.3">
      <c r="E20" s="48" t="s">
        <v>34</v>
      </c>
      <c r="F20" s="5" cm="1">
        <f t="array" ref="F20">MMULT(MMULT(F16:J16,F9:J13),TRANSPOSE(F16:J16))</f>
        <v>2.0841687632713372E-2</v>
      </c>
    </row>
    <row r="22" spans="1:12" ht="28.8" x14ac:dyDescent="0.3">
      <c r="E22" s="48" t="s">
        <v>39</v>
      </c>
      <c r="F22" s="5">
        <f>SQRT(F20)</f>
        <v>0.14436650453866842</v>
      </c>
    </row>
    <row r="24" spans="1:12" x14ac:dyDescent="0.3">
      <c r="B24" t="s">
        <v>36</v>
      </c>
      <c r="C24" s="5">
        <v>2.1621000000000001E-2</v>
      </c>
    </row>
    <row r="25" spans="1:12" ht="15" thickBot="1" x14ac:dyDescent="0.35"/>
    <row r="26" spans="1:12" ht="15" thickBot="1" x14ac:dyDescent="0.35">
      <c r="F26" s="72" t="s">
        <v>29</v>
      </c>
      <c r="G26" s="78"/>
      <c r="H26" s="78"/>
      <c r="I26" s="78"/>
      <c r="J26" s="110"/>
    </row>
    <row r="27" spans="1:12" x14ac:dyDescent="0.3">
      <c r="B27" s="72" t="s">
        <v>37</v>
      </c>
      <c r="C27" s="78" t="s">
        <v>38</v>
      </c>
      <c r="D27" s="110" t="s">
        <v>39</v>
      </c>
      <c r="F27" s="74" t="s">
        <v>7</v>
      </c>
      <c r="G27" t="s">
        <v>13</v>
      </c>
      <c r="H27" t="s">
        <v>4</v>
      </c>
      <c r="I27" t="s">
        <v>5</v>
      </c>
      <c r="J27" s="81" t="s">
        <v>6</v>
      </c>
      <c r="L27" t="s">
        <v>40</v>
      </c>
    </row>
    <row r="28" spans="1:12" x14ac:dyDescent="0.3">
      <c r="A28">
        <v>1</v>
      </c>
      <c r="B28" s="111">
        <v>-1.531E-3</v>
      </c>
      <c r="C28" s="5">
        <v>1.132003879689783E-2</v>
      </c>
      <c r="D28" s="75">
        <f>SQRT(C28)</f>
        <v>0.10639567094998663</v>
      </c>
      <c r="F28" s="111">
        <v>0</v>
      </c>
      <c r="G28" s="5">
        <v>-1.9999999999464891E-7</v>
      </c>
      <c r="H28" s="5">
        <v>-1.9999999999464891E-7</v>
      </c>
      <c r="I28" s="5">
        <v>1.0000004</v>
      </c>
      <c r="J28" s="75">
        <v>0</v>
      </c>
      <c r="L28" s="5">
        <v>-1.531E-3</v>
      </c>
    </row>
    <row r="29" spans="1:12" x14ac:dyDescent="0.3">
      <c r="A29">
        <v>2</v>
      </c>
      <c r="B29" s="111">
        <v>7.8419997205497684E-4</v>
      </c>
      <c r="C29" s="5">
        <v>6.9978382190535411E-3</v>
      </c>
      <c r="D29" s="75">
        <f>SQRT(C29)</f>
        <v>8.3653082543642954E-2</v>
      </c>
      <c r="F29" s="111">
        <v>0</v>
      </c>
      <c r="G29" s="5">
        <v>-1.9999999999464891E-7</v>
      </c>
      <c r="H29" s="5">
        <v>0.22337373220465206</v>
      </c>
      <c r="I29" s="5">
        <v>0.77662646779534794</v>
      </c>
      <c r="J29" s="75">
        <v>0</v>
      </c>
      <c r="L29" s="5">
        <v>7.8419999999999998E-4</v>
      </c>
    </row>
    <row r="30" spans="1:12" x14ac:dyDescent="0.3">
      <c r="A30">
        <v>3</v>
      </c>
      <c r="B30" s="111">
        <v>3.0991999468564725E-3</v>
      </c>
      <c r="C30" s="5">
        <v>4.1998011356150179E-3</v>
      </c>
      <c r="D30" s="75">
        <f t="shared" ref="D30:D37" si="1">SQRT(C30)</f>
        <v>6.4805872693877192E-2</v>
      </c>
      <c r="F30" s="111">
        <v>0</v>
      </c>
      <c r="G30" s="5">
        <v>-1.9999999999464891E-7</v>
      </c>
      <c r="H30" s="5">
        <v>0.44673413584237864</v>
      </c>
      <c r="I30" s="5">
        <v>0.55326606415762136</v>
      </c>
      <c r="J30" s="75">
        <v>0</v>
      </c>
      <c r="L30" s="5">
        <v>3.0991999999999999E-3</v>
      </c>
    </row>
    <row r="31" spans="1:12" x14ac:dyDescent="0.3">
      <c r="A31">
        <v>4</v>
      </c>
      <c r="B31" s="111">
        <v>5.4142006036024962E-3</v>
      </c>
      <c r="C31" s="5">
        <v>2.7465291723942809E-3</v>
      </c>
      <c r="D31" s="75">
        <f t="shared" si="1"/>
        <v>5.2407338917314632E-2</v>
      </c>
      <c r="F31" s="111">
        <v>0</v>
      </c>
      <c r="G31" s="5">
        <v>7.7231271791862302E-2</v>
      </c>
      <c r="H31" s="5">
        <v>0.49140622638396714</v>
      </c>
      <c r="I31" s="5">
        <v>0.38846692824254936</v>
      </c>
      <c r="J31" s="75">
        <v>4.2895611397627972E-2</v>
      </c>
      <c r="L31" s="5">
        <v>5.4142000000000001E-3</v>
      </c>
    </row>
    <row r="32" spans="1:12" x14ac:dyDescent="0.3">
      <c r="A32">
        <v>5</v>
      </c>
      <c r="B32" s="111">
        <v>7.7291999704588079E-3</v>
      </c>
      <c r="C32" s="5">
        <v>1.8559467395993551E-3</v>
      </c>
      <c r="D32" s="75">
        <f t="shared" si="1"/>
        <v>4.3080700314634568E-2</v>
      </c>
      <c r="F32" s="111">
        <v>0</v>
      </c>
      <c r="G32" s="5">
        <v>0.22915763990101642</v>
      </c>
      <c r="H32" s="5">
        <v>0.3981939635945026</v>
      </c>
      <c r="I32" s="5">
        <v>0.2701030759061071</v>
      </c>
      <c r="J32" s="75">
        <v>0.10254532059837376</v>
      </c>
      <c r="L32" s="5">
        <v>7.7292000000000003E-3</v>
      </c>
    </row>
    <row r="33" spans="1:12" x14ac:dyDescent="0.3">
      <c r="A33">
        <v>6</v>
      </c>
      <c r="B33" s="111">
        <v>1.004420007015349E-2</v>
      </c>
      <c r="C33" s="5">
        <v>1.433972671068717E-3</v>
      </c>
      <c r="D33" s="75">
        <f t="shared" si="1"/>
        <v>3.7867831612976167E-2</v>
      </c>
      <c r="F33" s="111">
        <v>5.2593897773321862E-3</v>
      </c>
      <c r="G33" s="5">
        <v>0.3740419493720713</v>
      </c>
      <c r="H33" s="5">
        <v>0.30652631095667515</v>
      </c>
      <c r="I33" s="5">
        <v>0.15376470800501033</v>
      </c>
      <c r="J33" s="75">
        <v>0.16040763884397499</v>
      </c>
      <c r="L33" s="5">
        <v>1.00442E-2</v>
      </c>
    </row>
    <row r="34" spans="1:12" x14ac:dyDescent="0.3">
      <c r="A34">
        <v>7</v>
      </c>
      <c r="B34" s="111">
        <v>1.2359199970546693E-2</v>
      </c>
      <c r="C34" s="5">
        <v>1.4379456433368622E-3</v>
      </c>
      <c r="D34" s="75">
        <f t="shared" si="1"/>
        <v>3.7920253735132921E-2</v>
      </c>
      <c r="F34" s="111">
        <v>4.3598057262914255E-2</v>
      </c>
      <c r="G34" s="5">
        <v>0.47463331984241397</v>
      </c>
      <c r="H34" s="5">
        <v>0.22457604409722248</v>
      </c>
      <c r="I34" s="5">
        <v>5.0165058052885049E-2</v>
      </c>
      <c r="J34" s="75">
        <v>0.2070275207445644</v>
      </c>
      <c r="L34" s="5">
        <v>1.2359200000000001E-2</v>
      </c>
    </row>
    <row r="35" spans="1:12" x14ac:dyDescent="0.3">
      <c r="A35">
        <v>8</v>
      </c>
      <c r="B35" s="111">
        <v>1.4674200003362E-2</v>
      </c>
      <c r="C35" s="5">
        <v>1.9272351377094773E-3</v>
      </c>
      <c r="D35" s="75">
        <f t="shared" si="1"/>
        <v>4.3900286305552462E-2</v>
      </c>
      <c r="F35" s="111">
        <v>0.10805449288756946</v>
      </c>
      <c r="G35" s="5">
        <v>0.63376494346493839</v>
      </c>
      <c r="H35" s="5">
        <v>2.8205975634417443E-2</v>
      </c>
      <c r="I35" s="5">
        <v>0</v>
      </c>
      <c r="J35" s="75">
        <v>0.22997458801307477</v>
      </c>
      <c r="L35" s="5">
        <v>1.46742E-2</v>
      </c>
    </row>
    <row r="36" spans="1:12" x14ac:dyDescent="0.3">
      <c r="A36">
        <v>9</v>
      </c>
      <c r="B36" s="111">
        <v>1.698900001768875E-2</v>
      </c>
      <c r="C36" s="5">
        <v>4.4774345136789013E-3</v>
      </c>
      <c r="D36" s="75">
        <f t="shared" si="1"/>
        <v>6.6913634736717909E-2</v>
      </c>
      <c r="F36" s="111">
        <v>0.38662407030930268</v>
      </c>
      <c r="G36" s="5">
        <v>0.48730177639018041</v>
      </c>
      <c r="H36" s="5">
        <v>0</v>
      </c>
      <c r="I36" s="5">
        <v>0</v>
      </c>
      <c r="J36" s="75">
        <v>0.12607415330051683</v>
      </c>
      <c r="L36" s="5">
        <v>1.6989000000000001E-2</v>
      </c>
    </row>
    <row r="37" spans="1:12" ht="15" thickBot="1" x14ac:dyDescent="0.35">
      <c r="A37">
        <v>10</v>
      </c>
      <c r="B37" s="112">
        <v>2.1621016974074387E-2</v>
      </c>
      <c r="C37" s="113">
        <v>2.0841687632713372E-2</v>
      </c>
      <c r="D37" s="80">
        <f t="shared" si="1"/>
        <v>0.14436650453866842</v>
      </c>
      <c r="F37" s="112">
        <v>0.99997907245842133</v>
      </c>
      <c r="G37" s="113">
        <v>2.0918565320000104E-5</v>
      </c>
      <c r="H37" s="113">
        <v>0</v>
      </c>
      <c r="I37" s="113">
        <v>0</v>
      </c>
      <c r="J37" s="80">
        <v>0</v>
      </c>
      <c r="L37" s="5">
        <v>2.1621000000000001E-2</v>
      </c>
    </row>
    <row r="38" spans="1:12" x14ac:dyDescent="0.3">
      <c r="B38" s="5"/>
      <c r="C38" s="5"/>
      <c r="D38" s="5"/>
      <c r="F38" s="5"/>
      <c r="G38" s="5"/>
      <c r="H38" s="5"/>
      <c r="I38" s="5"/>
      <c r="J38" s="5"/>
      <c r="L38" s="5"/>
    </row>
    <row r="39" spans="1:12" ht="15" thickBot="1" x14ac:dyDescent="0.35">
      <c r="B39" s="5"/>
      <c r="C39" s="5"/>
      <c r="D39" s="5"/>
      <c r="F39" s="5"/>
      <c r="G39" s="5"/>
      <c r="H39" s="5"/>
      <c r="I39" s="5"/>
      <c r="J39" s="5"/>
      <c r="L39" s="5"/>
    </row>
    <row r="40" spans="1:12" x14ac:dyDescent="0.3">
      <c r="B40" s="114" t="s">
        <v>62</v>
      </c>
      <c r="C40" s="115" t="s">
        <v>61</v>
      </c>
      <c r="D40" s="73" t="s">
        <v>35</v>
      </c>
      <c r="E40" s="72" t="s">
        <v>29</v>
      </c>
      <c r="F40" s="115" t="s">
        <v>7</v>
      </c>
      <c r="G40" s="115" t="s">
        <v>13</v>
      </c>
      <c r="H40" s="115" t="s">
        <v>4</v>
      </c>
      <c r="I40" s="115" t="s">
        <v>5</v>
      </c>
      <c r="J40" s="73" t="s">
        <v>6</v>
      </c>
      <c r="L40" s="5" t="s">
        <v>42</v>
      </c>
    </row>
    <row r="41" spans="1:12" x14ac:dyDescent="0.3">
      <c r="B41" s="111">
        <v>1.1178721270245568E-2</v>
      </c>
      <c r="C41" s="5">
        <v>1.3859060184411415E-3</v>
      </c>
      <c r="D41" s="75">
        <v>3.7227758708269582E-2</v>
      </c>
      <c r="E41" s="74"/>
      <c r="F41" s="5">
        <v>2.4048266148343996E-2</v>
      </c>
      <c r="G41" s="5">
        <v>0.4233388992123101</v>
      </c>
      <c r="H41" s="5">
        <v>0.26636485947831617</v>
      </c>
      <c r="I41" s="5">
        <v>0.10299317929164541</v>
      </c>
      <c r="J41" s="75">
        <v>0.18325479586938448</v>
      </c>
      <c r="L41" s="5">
        <v>1.3859061204517056E-3</v>
      </c>
    </row>
    <row r="42" spans="1:12" x14ac:dyDescent="0.3">
      <c r="B42" s="111">
        <v>1.2939007643349537E-2</v>
      </c>
      <c r="C42" s="5">
        <v>1.501619744196621E-3</v>
      </c>
      <c r="D42" s="75">
        <v>3.8750738627755486E-2</v>
      </c>
      <c r="E42" s="74"/>
      <c r="F42" s="5">
        <v>5.3203672069178566E-2</v>
      </c>
      <c r="G42" s="5">
        <v>0.499918757767436</v>
      </c>
      <c r="H42" s="5">
        <v>0.20394161598279356</v>
      </c>
      <c r="I42" s="5">
        <v>2.4259327343276169E-2</v>
      </c>
      <c r="J42" s="75">
        <v>0.2186766268373157</v>
      </c>
      <c r="L42" s="5">
        <v>1.5016186739449597E-3</v>
      </c>
    </row>
    <row r="43" spans="1:12" ht="15" thickBot="1" x14ac:dyDescent="0.35">
      <c r="B43" s="112">
        <v>1.4674203889543665E-2</v>
      </c>
      <c r="C43" s="113">
        <v>1.9272373616445481E-3</v>
      </c>
      <c r="D43" s="80">
        <v>4.390031163493658E-2</v>
      </c>
      <c r="E43" s="76"/>
      <c r="F43" s="113">
        <v>0.10805417134182532</v>
      </c>
      <c r="G43" s="113">
        <v>0.63359425973631334</v>
      </c>
      <c r="H43" s="113">
        <v>2.8156174923007728E-2</v>
      </c>
      <c r="I43" s="113">
        <v>0</v>
      </c>
      <c r="J43" s="80">
        <v>0.23019539399885369</v>
      </c>
      <c r="L43" s="5">
        <v>1.9272351377094773E-3</v>
      </c>
    </row>
    <row r="44" spans="1:12" x14ac:dyDescent="0.3">
      <c r="B44" s="5"/>
      <c r="C44" s="5"/>
      <c r="D44" s="5"/>
      <c r="F44" s="5"/>
      <c r="G44" s="5"/>
      <c r="H44" s="5"/>
      <c r="I44" s="5"/>
      <c r="J44" s="5"/>
      <c r="L44" s="5"/>
    </row>
    <row r="46" spans="1:12" x14ac:dyDescent="0.3">
      <c r="B46" s="83" t="s">
        <v>63</v>
      </c>
    </row>
    <row r="47" spans="1:12" x14ac:dyDescent="0.3">
      <c r="B47" s="12" t="s">
        <v>62</v>
      </c>
      <c r="C47" s="87" t="s">
        <v>113</v>
      </c>
      <c r="D47" s="87" t="s">
        <v>140</v>
      </c>
    </row>
    <row r="48" spans="1:12" x14ac:dyDescent="0.3">
      <c r="B48" s="5">
        <v>1.378884467263585E-2</v>
      </c>
      <c r="C48" s="5">
        <v>2.7003721852300031E-3</v>
      </c>
      <c r="D48" s="5">
        <v>5.1965105457701159E-2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01AB-8BB6-44A1-9506-BED735D7E0A1}">
  <dimension ref="A2:L51"/>
  <sheetViews>
    <sheetView topLeftCell="A9" workbookViewId="0">
      <selection activeCell="B19" sqref="B19"/>
    </sheetView>
  </sheetViews>
  <sheetFormatPr defaultRowHeight="14.4" x14ac:dyDescent="0.3"/>
  <cols>
    <col min="2" max="2" width="33.21875" customWidth="1"/>
    <col min="3" max="3" width="9.109375" bestFit="1" customWidth="1"/>
    <col min="4" max="4" width="21.21875" customWidth="1"/>
    <col min="5" max="5" width="17.44140625" customWidth="1"/>
    <col min="6" max="6" width="14.109375" customWidth="1"/>
    <col min="7" max="7" width="16.44140625" customWidth="1"/>
    <col min="8" max="10" width="9.109375" bestFit="1" customWidth="1"/>
  </cols>
  <sheetData>
    <row r="2" spans="2:11" x14ac:dyDescent="0.3">
      <c r="B2" s="30" t="s">
        <v>18</v>
      </c>
      <c r="C2" s="68">
        <v>2.1621169946770352E-2</v>
      </c>
    </row>
    <row r="3" spans="2:11" x14ac:dyDescent="0.3">
      <c r="B3" s="32" t="s">
        <v>19</v>
      </c>
      <c r="C3" s="69">
        <v>1.4317675829852678E-2</v>
      </c>
    </row>
    <row r="4" spans="2:11" x14ac:dyDescent="0.3">
      <c r="B4" s="32" t="s">
        <v>20</v>
      </c>
      <c r="C4" s="69">
        <v>8.8334802790644117E-3</v>
      </c>
    </row>
    <row r="5" spans="2:11" x14ac:dyDescent="0.3">
      <c r="B5" s="32" t="s">
        <v>21</v>
      </c>
      <c r="C5" s="69">
        <v>-1.5309349758267255E-3</v>
      </c>
    </row>
    <row r="6" spans="2:11" x14ac:dyDescent="0.3">
      <c r="B6" s="34" t="s">
        <v>22</v>
      </c>
      <c r="C6" s="70">
        <v>1.3109002750260737E-2</v>
      </c>
      <c r="D6" s="32"/>
    </row>
    <row r="7" spans="2:11" x14ac:dyDescent="0.3">
      <c r="C7" s="5"/>
      <c r="E7" s="14" t="s">
        <v>12</v>
      </c>
    </row>
    <row r="8" spans="2:11" x14ac:dyDescent="0.3">
      <c r="C8" s="5"/>
      <c r="F8" s="92" t="s">
        <v>7</v>
      </c>
      <c r="G8" s="92" t="s">
        <v>13</v>
      </c>
      <c r="H8" s="92" t="s">
        <v>4</v>
      </c>
      <c r="I8" s="92" t="s">
        <v>5</v>
      </c>
      <c r="J8" s="92" t="s">
        <v>6</v>
      </c>
    </row>
    <row r="9" spans="2:11" x14ac:dyDescent="0.3">
      <c r="B9" s="36" t="s">
        <v>23</v>
      </c>
      <c r="C9" s="37">
        <v>2.0842490773238641E-2</v>
      </c>
      <c r="E9" s="92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2:11" x14ac:dyDescent="0.3">
      <c r="B10" s="38" t="s">
        <v>24</v>
      </c>
      <c r="C10" s="39">
        <v>2.8918859277023809E-3</v>
      </c>
      <c r="E10" s="92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2:11" x14ac:dyDescent="0.3">
      <c r="B11" s="38" t="s">
        <v>25</v>
      </c>
      <c r="C11" s="39">
        <v>3.8312056504527583E-3</v>
      </c>
      <c r="E11" s="92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2:11" x14ac:dyDescent="0.3">
      <c r="B12" s="38" t="s">
        <v>26</v>
      </c>
      <c r="C12" s="39">
        <v>1.1320029492750884E-2</v>
      </c>
      <c r="E12" s="92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2:11" x14ac:dyDescent="0.3">
      <c r="B13" s="40" t="s">
        <v>27</v>
      </c>
      <c r="C13" s="41">
        <v>9.3913833633057133E-3</v>
      </c>
      <c r="E13" s="92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4" spans="2:11" x14ac:dyDescent="0.3">
      <c r="C14" s="5"/>
    </row>
    <row r="15" spans="2:11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</row>
    <row r="16" spans="2:11" x14ac:dyDescent="0.3">
      <c r="B16" s="44" t="s">
        <v>30</v>
      </c>
      <c r="C16" s="45">
        <f t="shared" ref="C16:C19" si="0">SQRT(C10)</f>
        <v>5.3776258029937157E-2</v>
      </c>
      <c r="F16" s="7">
        <v>0.2</v>
      </c>
      <c r="G16" s="7">
        <v>0.2</v>
      </c>
      <c r="H16" s="7">
        <v>0.2</v>
      </c>
      <c r="I16" s="7">
        <v>0.2</v>
      </c>
      <c r="J16" s="7">
        <v>0.2</v>
      </c>
      <c r="K16">
        <f>SUM(F16:J16)</f>
        <v>1</v>
      </c>
    </row>
    <row r="17" spans="1:12" x14ac:dyDescent="0.3">
      <c r="B17" s="44" t="s">
        <v>31</v>
      </c>
      <c r="C17" s="45">
        <f t="shared" si="0"/>
        <v>6.1896733762394587E-2</v>
      </c>
    </row>
    <row r="18" spans="1:12" ht="43.2" x14ac:dyDescent="0.3">
      <c r="B18" s="44" t="s">
        <v>32</v>
      </c>
      <c r="C18" s="45">
        <f t="shared" si="0"/>
        <v>0.10639562722570362</v>
      </c>
      <c r="E18" s="48" t="s">
        <v>33</v>
      </c>
      <c r="F18" s="5">
        <f>F16*C2+G16*C3+H16*C4+C5*I16+C6*J16</f>
        <v>1.1270078766024288E-2</v>
      </c>
    </row>
    <row r="19" spans="1:12" x14ac:dyDescent="0.3">
      <c r="B19" s="46" t="s">
        <v>144</v>
      </c>
      <c r="C19" s="47">
        <f t="shared" si="0"/>
        <v>9.6909150049444323E-2</v>
      </c>
      <c r="F19" s="5"/>
    </row>
    <row r="20" spans="1:12" ht="28.8" x14ac:dyDescent="0.3">
      <c r="E20" s="48" t="s">
        <v>34</v>
      </c>
      <c r="F20" s="5" cm="1">
        <f t="array" ref="F20">MMULT(MMULT(F16:J16,F9:J13),TRANSPOSE(F16:J16))</f>
        <v>2.2416333180945141E-3</v>
      </c>
    </row>
    <row r="21" spans="1:12" x14ac:dyDescent="0.3">
      <c r="F21" s="5"/>
    </row>
    <row r="22" spans="1:12" ht="28.8" x14ac:dyDescent="0.3">
      <c r="E22" s="48" t="s">
        <v>39</v>
      </c>
      <c r="F22" s="5">
        <f>SQRT(F20)</f>
        <v>4.7345890192228027E-2</v>
      </c>
    </row>
    <row r="24" spans="1:12" x14ac:dyDescent="0.3">
      <c r="B24" t="s">
        <v>36</v>
      </c>
      <c r="C24">
        <v>2.1118368554417597E-3</v>
      </c>
    </row>
    <row r="25" spans="1:12" ht="15" thickBot="1" x14ac:dyDescent="0.35"/>
    <row r="26" spans="1:12" ht="15" thickBot="1" x14ac:dyDescent="0.35">
      <c r="F26" s="72" t="s">
        <v>29</v>
      </c>
      <c r="G26" s="78"/>
      <c r="H26" s="78"/>
      <c r="I26" s="78"/>
      <c r="J26" s="110"/>
    </row>
    <row r="27" spans="1:12" x14ac:dyDescent="0.3">
      <c r="B27" s="72" t="s">
        <v>37</v>
      </c>
      <c r="C27" s="78" t="s">
        <v>38</v>
      </c>
      <c r="D27" s="110" t="s">
        <v>39</v>
      </c>
      <c r="F27" s="74" t="s">
        <v>7</v>
      </c>
      <c r="G27" t="s">
        <v>13</v>
      </c>
      <c r="H27" t="s">
        <v>4</v>
      </c>
      <c r="I27" t="s">
        <v>5</v>
      </c>
      <c r="J27" s="81" t="s">
        <v>6</v>
      </c>
      <c r="L27" t="s">
        <v>40</v>
      </c>
    </row>
    <row r="28" spans="1:12" x14ac:dyDescent="0.3">
      <c r="A28">
        <v>1</v>
      </c>
      <c r="B28" s="111">
        <v>-4.4249999964856663E-3</v>
      </c>
      <c r="C28" s="5">
        <v>1.047822556225852E-2</v>
      </c>
      <c r="D28" s="75">
        <v>0.10236320414220396</v>
      </c>
      <c r="F28" s="74">
        <v>-0.23436310919319323</v>
      </c>
      <c r="G28">
        <v>-0.25467730409518979</v>
      </c>
      <c r="H28">
        <v>0.81873542193746074</v>
      </c>
      <c r="I28">
        <v>0.80128219806534851</v>
      </c>
      <c r="J28" s="81">
        <v>-0.13097720671442595</v>
      </c>
      <c r="L28">
        <v>-4.4250000000000001E-3</v>
      </c>
    </row>
    <row r="29" spans="1:12" x14ac:dyDescent="0.3">
      <c r="A29">
        <v>2</v>
      </c>
      <c r="B29" s="111">
        <v>-1.5310000167614753E-3</v>
      </c>
      <c r="C29" s="5">
        <v>7.4183095327623565E-3</v>
      </c>
      <c r="D29" s="75">
        <v>8.6129608920291492E-2</v>
      </c>
      <c r="F29" s="74">
        <v>-0.18643587079621249</v>
      </c>
      <c r="G29">
        <v>-0.12892651444518222</v>
      </c>
      <c r="H29">
        <v>0.71628797196481386</v>
      </c>
      <c r="I29">
        <v>0.67177158264918402</v>
      </c>
      <c r="J29" s="81">
        <v>-7.2697169372602982E-2</v>
      </c>
      <c r="L29">
        <v>-1.531E-3</v>
      </c>
    </row>
    <row r="30" spans="1:12" x14ac:dyDescent="0.3">
      <c r="A30">
        <v>3</v>
      </c>
      <c r="B30" s="111">
        <v>1.3629999711574281E-3</v>
      </c>
      <c r="C30" s="5">
        <v>4.9839194490593486E-3</v>
      </c>
      <c r="D30" s="75">
        <v>7.0596879881899513E-2</v>
      </c>
      <c r="F30" s="74">
        <v>-0.13850870195040565</v>
      </c>
      <c r="G30">
        <v>-3.1757979336067632E-3</v>
      </c>
      <c r="H30">
        <v>0.61384074204732153</v>
      </c>
      <c r="I30">
        <v>0.54226085592946227</v>
      </c>
      <c r="J30" s="81">
        <v>-1.4417098092771469E-2</v>
      </c>
      <c r="L30">
        <v>1.3630000000000001E-3</v>
      </c>
    </row>
    <row r="31" spans="1:12" x14ac:dyDescent="0.3">
      <c r="A31">
        <v>4</v>
      </c>
      <c r="B31" s="111">
        <v>4.2569999735574092E-3</v>
      </c>
      <c r="C31" s="5">
        <v>3.175055313213149E-3</v>
      </c>
      <c r="D31" s="75">
        <v>5.634762917118296E-2</v>
      </c>
      <c r="F31" s="74">
        <v>-9.0581606288398342E-2</v>
      </c>
      <c r="G31">
        <v>0.122574891786406</v>
      </c>
      <c r="H31">
        <v>0.51139325944176794</v>
      </c>
      <c r="I31">
        <v>0.41275015725340031</v>
      </c>
      <c r="J31" s="81">
        <v>4.3863297806824131E-2</v>
      </c>
      <c r="L31">
        <v>4.2570000000000004E-3</v>
      </c>
    </row>
    <row r="32" spans="1:12" x14ac:dyDescent="0.3">
      <c r="A32">
        <v>5</v>
      </c>
      <c r="B32" s="111">
        <v>7.1509999708360842E-3</v>
      </c>
      <c r="C32" s="5">
        <v>1.9917171405098911E-3</v>
      </c>
      <c r="D32" s="75">
        <v>4.462865828713531E-2</v>
      </c>
      <c r="F32" s="74">
        <v>-4.2654296754784549E-2</v>
      </c>
      <c r="G32">
        <v>0.24832551487677126</v>
      </c>
      <c r="H32">
        <v>0.40894586061688021</v>
      </c>
      <c r="I32">
        <v>0.283239553310842</v>
      </c>
      <c r="J32" s="81">
        <v>0.10214336795029096</v>
      </c>
      <c r="L32">
        <v>7.1510000000000002E-3</v>
      </c>
    </row>
    <row r="33" spans="1:12" x14ac:dyDescent="0.3">
      <c r="A33">
        <v>6</v>
      </c>
      <c r="B33" s="111">
        <v>1.0044999970675388E-2</v>
      </c>
      <c r="C33" s="5">
        <v>1.4339049269794174E-3</v>
      </c>
      <c r="D33" s="75">
        <v>3.7866937121708397E-2</v>
      </c>
      <c r="F33" s="74">
        <v>5.2728881831143309E-3</v>
      </c>
      <c r="G33">
        <v>0.37407620582863926</v>
      </c>
      <c r="H33">
        <v>0.30649853139532957</v>
      </c>
      <c r="I33">
        <v>0.15372886202443944</v>
      </c>
      <c r="J33" s="81">
        <v>0.16042351256847753</v>
      </c>
      <c r="L33">
        <v>1.0045E-2</v>
      </c>
    </row>
    <row r="34" spans="1:12" x14ac:dyDescent="0.3">
      <c r="A34">
        <v>7</v>
      </c>
      <c r="B34" s="111">
        <v>1.2938999970514498E-2</v>
      </c>
      <c r="C34" s="5">
        <v>1.5016186739449597E-3</v>
      </c>
      <c r="D34" s="75">
        <v>3.8750724818317393E-2</v>
      </c>
      <c r="F34" s="74">
        <v>5.3200055589958467E-2</v>
      </c>
      <c r="G34">
        <v>0.49982689971609329</v>
      </c>
      <c r="H34">
        <v>0.20405117038878481</v>
      </c>
      <c r="I34">
        <v>2.4218170069901512E-2</v>
      </c>
      <c r="J34" s="81">
        <v>0.21870370423526181</v>
      </c>
      <c r="L34">
        <v>1.2939000000000001E-2</v>
      </c>
    </row>
    <row r="35" spans="1:12" x14ac:dyDescent="0.3">
      <c r="A35">
        <v>8</v>
      </c>
      <c r="B35" s="111">
        <v>1.5833011240432671E-2</v>
      </c>
      <c r="C35" s="5">
        <v>2.1948622990787354E-3</v>
      </c>
      <c r="D35" s="75">
        <v>4.6849357509775258E-2</v>
      </c>
      <c r="F35" s="74">
        <v>0.10112745891475761</v>
      </c>
      <c r="G35">
        <v>0.62557802698188514</v>
      </c>
      <c r="H35">
        <v>0.10160342142584096</v>
      </c>
      <c r="I35">
        <v>-0.10529300545069241</v>
      </c>
      <c r="J35" s="81">
        <v>0.27698409812820912</v>
      </c>
      <c r="L35">
        <v>1.5833E-2</v>
      </c>
    </row>
    <row r="36" spans="1:12" x14ac:dyDescent="0.3">
      <c r="B36" s="117">
        <v>1.5965670218568026E-2</v>
      </c>
      <c r="C36" s="116">
        <v>2.2416342014827052E-3</v>
      </c>
      <c r="D36" s="118">
        <v>4.7345899521317632E-2</v>
      </c>
      <c r="F36" s="119">
        <v>0.10335663431978465</v>
      </c>
      <c r="G36" s="120">
        <v>0.63124248506437075</v>
      </c>
      <c r="H36" s="120">
        <v>9.6883875100442315E-2</v>
      </c>
      <c r="I36" s="120">
        <v>-0.11121235166895707</v>
      </c>
      <c r="J36" s="121">
        <v>0.27972935718435943</v>
      </c>
    </row>
    <row r="37" spans="1:12" x14ac:dyDescent="0.3">
      <c r="A37">
        <v>9</v>
      </c>
      <c r="B37" s="111">
        <v>2.1621011240111267E-2</v>
      </c>
      <c r="C37" s="5">
        <v>5.4579244674507954E-3</v>
      </c>
      <c r="D37" s="75">
        <v>7.387776707136455E-2</v>
      </c>
      <c r="F37" s="74">
        <v>0.19698183567366689</v>
      </c>
      <c r="G37">
        <v>0.87707930565558456</v>
      </c>
      <c r="H37">
        <v>-0.10329121823908423</v>
      </c>
      <c r="I37">
        <v>-0.36431439802816296</v>
      </c>
      <c r="J37" s="81">
        <v>0.39354447493799588</v>
      </c>
      <c r="L37">
        <v>2.1621000000000001E-2</v>
      </c>
    </row>
    <row r="38" spans="1:12" ht="15" thickBot="1" x14ac:dyDescent="0.35">
      <c r="A38">
        <v>10</v>
      </c>
      <c r="B38" s="112">
        <v>2.4515011239950556E-2</v>
      </c>
      <c r="C38" s="113">
        <v>8.0277444923810698E-3</v>
      </c>
      <c r="D38" s="80">
        <v>8.9597681289088446E-2</v>
      </c>
      <c r="F38" s="76">
        <v>0.24490899599349403</v>
      </c>
      <c r="G38" s="79">
        <v>1.0028299737210282</v>
      </c>
      <c r="H38" s="79">
        <v>-0.20573852838613016</v>
      </c>
      <c r="I38" s="79">
        <v>-0.49382511108848415</v>
      </c>
      <c r="J38" s="82">
        <v>0.45182466976009217</v>
      </c>
      <c r="L38">
        <v>2.4514999999999999E-2</v>
      </c>
    </row>
    <row r="41" spans="1:12" x14ac:dyDescent="0.3">
      <c r="B41" t="s">
        <v>41</v>
      </c>
      <c r="C41">
        <v>2.1118368554417597E-3</v>
      </c>
    </row>
    <row r="43" spans="1:12" ht="15" thickBot="1" x14ac:dyDescent="0.35"/>
    <row r="44" spans="1:12" x14ac:dyDescent="0.3">
      <c r="B44" s="72" t="s">
        <v>37</v>
      </c>
      <c r="C44" s="78" t="s">
        <v>38</v>
      </c>
      <c r="D44" s="110" t="s">
        <v>39</v>
      </c>
      <c r="E44" s="72" t="s">
        <v>29</v>
      </c>
      <c r="F44" s="78" t="s">
        <v>7</v>
      </c>
      <c r="G44" s="78" t="s">
        <v>13</v>
      </c>
      <c r="H44" s="78" t="s">
        <v>4</v>
      </c>
      <c r="I44" s="78" t="s">
        <v>5</v>
      </c>
      <c r="J44" s="110" t="s">
        <v>6</v>
      </c>
      <c r="L44" t="s">
        <v>42</v>
      </c>
    </row>
    <row r="45" spans="1:12" x14ac:dyDescent="0.3">
      <c r="B45" s="111">
        <v>1.1178722106586264E-2</v>
      </c>
      <c r="C45" s="5">
        <v>1.3859061204517056E-3</v>
      </c>
      <c r="D45" s="75">
        <v>3.7227760078356924E-2</v>
      </c>
      <c r="E45" s="74"/>
      <c r="F45" s="5">
        <v>2.4048305925928156E-2</v>
      </c>
      <c r="G45" s="5">
        <v>0.42333872964008401</v>
      </c>
      <c r="H45" s="5">
        <v>0.26636518090909467</v>
      </c>
      <c r="I45" s="5">
        <v>0.1029930703743263</v>
      </c>
      <c r="J45" s="75">
        <v>0.18325474995324298</v>
      </c>
      <c r="L45">
        <v>1.3859061204517056E-3</v>
      </c>
    </row>
    <row r="46" spans="1:12" x14ac:dyDescent="0.3">
      <c r="B46" s="111">
        <v>1.2939001068294827E-2</v>
      </c>
      <c r="C46" s="5">
        <v>1.5016191899972033E-3</v>
      </c>
      <c r="D46" s="75">
        <v>3.8750731476930901E-2</v>
      </c>
      <c r="E46" s="74"/>
      <c r="F46" s="5">
        <v>5.3167874343832175E-2</v>
      </c>
      <c r="G46" s="5">
        <v>0.49986283191117936</v>
      </c>
      <c r="H46" s="5">
        <v>0.20421866673426109</v>
      </c>
      <c r="I46" s="5">
        <v>2.4153433863479189E-2</v>
      </c>
      <c r="J46" s="75">
        <v>0.21859719314796047</v>
      </c>
      <c r="L46">
        <v>1.5016186739449597E-3</v>
      </c>
    </row>
    <row r="47" spans="1:12" ht="15" thickBot="1" x14ac:dyDescent="0.35">
      <c r="B47" s="112">
        <v>1.5833016088254014E-2</v>
      </c>
      <c r="C47" s="113">
        <v>2.1948641243225995E-3</v>
      </c>
      <c r="D47" s="80">
        <v>4.6849376989695386E-2</v>
      </c>
      <c r="E47" s="76"/>
      <c r="F47" s="113">
        <v>0.10112560816174154</v>
      </c>
      <c r="G47" s="113">
        <v>0.62558008457781678</v>
      </c>
      <c r="H47" s="113">
        <v>0.10171159697606801</v>
      </c>
      <c r="I47" s="113">
        <v>-0.10532583494658686</v>
      </c>
      <c r="J47" s="80">
        <v>0.27690854523096053</v>
      </c>
      <c r="L47">
        <v>2.1948622990787354E-3</v>
      </c>
    </row>
    <row r="49" spans="2:4" x14ac:dyDescent="0.3">
      <c r="B49" s="83" t="s">
        <v>63</v>
      </c>
    </row>
    <row r="50" spans="2:4" x14ac:dyDescent="0.3">
      <c r="B50" s="12" t="s">
        <v>37</v>
      </c>
      <c r="C50" s="87" t="s">
        <v>38</v>
      </c>
      <c r="D50" s="87" t="s">
        <v>39</v>
      </c>
    </row>
    <row r="51" spans="2:4" x14ac:dyDescent="0.3">
      <c r="B51">
        <v>1.378884467263585E-2</v>
      </c>
      <c r="C51">
        <v>2.7003721852300031E-3</v>
      </c>
      <c r="D51">
        <f>SQRT(C51)</f>
        <v>5.1965105457701159E-2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4D58-6FC3-41EC-A191-FF38E4616FD5}">
  <dimension ref="A1:P54"/>
  <sheetViews>
    <sheetView topLeftCell="A41" workbookViewId="0">
      <selection activeCell="E53" sqref="E53"/>
    </sheetView>
  </sheetViews>
  <sheetFormatPr defaultRowHeight="14.4" x14ac:dyDescent="0.3"/>
  <cols>
    <col min="1" max="2" width="20.5546875" customWidth="1"/>
    <col min="3" max="3" width="15.6640625" customWidth="1"/>
    <col min="4" max="4" width="20.77734375" customWidth="1"/>
    <col min="5" max="5" width="13.6640625" customWidth="1"/>
    <col min="6" max="6" width="14" customWidth="1"/>
    <col min="7" max="7" width="18.88671875" customWidth="1"/>
    <col min="8" max="8" width="17" customWidth="1"/>
    <col min="9" max="9" width="16" customWidth="1"/>
    <col min="10" max="10" width="12.77734375" customWidth="1"/>
    <col min="11" max="11" width="12.21875" customWidth="1"/>
    <col min="12" max="12" width="16.77734375" customWidth="1"/>
    <col min="14" max="14" width="6.44140625" customWidth="1"/>
    <col min="15" max="15" width="11.21875" bestFit="1" customWidth="1"/>
  </cols>
  <sheetData>
    <row r="1" spans="1:16" x14ac:dyDescent="0.3">
      <c r="A1" s="20"/>
      <c r="B1" s="122" t="s">
        <v>12</v>
      </c>
      <c r="C1" s="21"/>
      <c r="D1" s="21"/>
      <c r="E1" s="21"/>
      <c r="F1" s="21"/>
      <c r="G1" s="21"/>
      <c r="H1" s="21"/>
      <c r="I1" s="21"/>
      <c r="J1" s="21"/>
      <c r="K1" s="22"/>
    </row>
    <row r="2" spans="1:16" x14ac:dyDescent="0.3">
      <c r="A2" s="23"/>
      <c r="B2" s="125" t="s">
        <v>0</v>
      </c>
      <c r="C2" s="125" t="s">
        <v>17</v>
      </c>
      <c r="D2" s="125" t="s">
        <v>65</v>
      </c>
      <c r="E2" s="125" t="s">
        <v>1</v>
      </c>
      <c r="F2" s="125" t="s">
        <v>2</v>
      </c>
      <c r="G2" s="125" t="s">
        <v>4</v>
      </c>
      <c r="H2" s="125" t="s">
        <v>13</v>
      </c>
      <c r="I2" s="125" t="s">
        <v>5</v>
      </c>
      <c r="J2" s="125" t="s">
        <v>6</v>
      </c>
      <c r="K2" s="126" t="s">
        <v>7</v>
      </c>
    </row>
    <row r="3" spans="1:16" x14ac:dyDescent="0.3">
      <c r="A3" s="123" t="s">
        <v>0</v>
      </c>
      <c r="B3" s="13">
        <v>6.5193315134180283E-3</v>
      </c>
      <c r="C3" s="5">
        <v>2.6962465858318165E-3</v>
      </c>
      <c r="D3" s="5">
        <v>2.7365098187564904E-3</v>
      </c>
      <c r="E3" s="5">
        <v>1.5093531777363371E-3</v>
      </c>
      <c r="F3" s="5">
        <v>2.671678717004185E-3</v>
      </c>
      <c r="G3" s="5">
        <v>1.0845740533780889E-3</v>
      </c>
      <c r="H3" s="5">
        <v>8.3063169529996037E-4</v>
      </c>
      <c r="I3" s="5">
        <v>2.0480484132816487E-3</v>
      </c>
      <c r="J3" s="5">
        <v>1.6541391183282979E-3</v>
      </c>
      <c r="K3" s="26">
        <v>3.9002786236243103E-3</v>
      </c>
    </row>
    <row r="4" spans="1:16" x14ac:dyDescent="0.3">
      <c r="A4" s="123" t="s">
        <v>17</v>
      </c>
      <c r="B4" s="5">
        <v>2.6962465858318165E-3</v>
      </c>
      <c r="C4" s="13">
        <v>7.9632738922281836E-3</v>
      </c>
      <c r="D4" s="5">
        <v>2.4359739402673988E-3</v>
      </c>
      <c r="E4" s="5">
        <v>2.0351703585486654E-3</v>
      </c>
      <c r="F4" s="5">
        <v>1.8832888473362837E-3</v>
      </c>
      <c r="G4" s="5">
        <v>1.1034986434147298E-3</v>
      </c>
      <c r="H4" s="5">
        <v>5.5703093107678341E-4</v>
      </c>
      <c r="I4" s="5">
        <v>3.626258720316721E-3</v>
      </c>
      <c r="J4" s="5">
        <v>1.9560923843086604E-3</v>
      </c>
      <c r="K4" s="26">
        <v>1.328068868617993E-3</v>
      </c>
    </row>
    <row r="5" spans="1:16" x14ac:dyDescent="0.3">
      <c r="A5" s="123" t="s">
        <v>65</v>
      </c>
      <c r="B5" s="5">
        <v>2.7365098187564904E-3</v>
      </c>
      <c r="C5" s="5">
        <v>2.4359739402673988E-3</v>
      </c>
      <c r="D5" s="13">
        <v>6.2094034971400891E-3</v>
      </c>
      <c r="E5" s="5">
        <v>4.5453646217388302E-3</v>
      </c>
      <c r="F5" s="5">
        <v>1.9755235406965135E-3</v>
      </c>
      <c r="G5" s="5">
        <v>1.1789993216950573E-3</v>
      </c>
      <c r="H5" s="5">
        <v>3.5617037248318422E-4</v>
      </c>
      <c r="I5" s="5">
        <v>2.0916950817047694E-3</v>
      </c>
      <c r="J5" s="5">
        <v>1.7302484395852337E-3</v>
      </c>
      <c r="K5" s="26">
        <v>2.9130318008172697E-3</v>
      </c>
    </row>
    <row r="6" spans="1:16" x14ac:dyDescent="0.3">
      <c r="A6" s="123" t="s">
        <v>1</v>
      </c>
      <c r="B6" s="5">
        <v>1.5093531777363371E-3</v>
      </c>
      <c r="C6" s="5">
        <v>2.0351703585486654E-3</v>
      </c>
      <c r="D6" s="5">
        <v>4.5453646217388302E-3</v>
      </c>
      <c r="E6" s="13">
        <v>4.8037189882485969E-3</v>
      </c>
      <c r="F6" s="5">
        <v>1.5263099344368133E-3</v>
      </c>
      <c r="G6" s="5">
        <v>1.3561785593528921E-3</v>
      </c>
      <c r="H6" s="5">
        <v>2.0596343559099966E-4</v>
      </c>
      <c r="I6" s="5">
        <v>8.055460496440871E-4</v>
      </c>
      <c r="J6" s="5">
        <v>1.1082172439013185E-3</v>
      </c>
      <c r="K6" s="26">
        <v>2.4817365788556136E-3</v>
      </c>
    </row>
    <row r="7" spans="1:16" x14ac:dyDescent="0.3">
      <c r="A7" s="123" t="s">
        <v>2</v>
      </c>
      <c r="B7" s="5">
        <v>2.671678717004185E-3</v>
      </c>
      <c r="C7" s="5">
        <v>1.8832888473362837E-3</v>
      </c>
      <c r="D7" s="5">
        <v>1.9755235406965135E-3</v>
      </c>
      <c r="E7" s="5">
        <v>1.5263099344368133E-3</v>
      </c>
      <c r="F7" s="13">
        <v>3.7257347040591873E-3</v>
      </c>
      <c r="G7" s="5">
        <v>8.358032110076613E-4</v>
      </c>
      <c r="H7" s="5">
        <v>7.5067891996010664E-4</v>
      </c>
      <c r="I7" s="5">
        <v>6.7855125038007225E-4</v>
      </c>
      <c r="J7" s="5">
        <v>8.8718876413875869E-4</v>
      </c>
      <c r="K7" s="26">
        <v>3.4766449752419537E-3</v>
      </c>
    </row>
    <row r="8" spans="1:16" x14ac:dyDescent="0.3">
      <c r="A8" s="123" t="s">
        <v>4</v>
      </c>
      <c r="B8" s="5">
        <v>1.0845740533780889E-3</v>
      </c>
      <c r="C8" s="5">
        <v>1.1034986434147298E-3</v>
      </c>
      <c r="D8" s="5">
        <v>1.1789993216950573E-3</v>
      </c>
      <c r="E8" s="5">
        <v>1.3561785593528921E-3</v>
      </c>
      <c r="F8" s="5">
        <v>8.358032110076613E-4</v>
      </c>
      <c r="G8" s="13">
        <v>3.8312056504527583E-3</v>
      </c>
      <c r="H8" s="5">
        <v>1.2465868534286102E-3</v>
      </c>
      <c r="I8" s="5">
        <v>-6.0479574676497959E-5</v>
      </c>
      <c r="J8" s="5">
        <v>-9.3026099262344863E-4</v>
      </c>
      <c r="K8" s="26">
        <v>5.9807192590821733E-4</v>
      </c>
    </row>
    <row r="9" spans="1:16" x14ac:dyDescent="0.3">
      <c r="A9" s="123" t="s">
        <v>13</v>
      </c>
      <c r="B9" s="5">
        <v>8.3063169529996037E-4</v>
      </c>
      <c r="C9" s="5">
        <v>5.5703093107678341E-4</v>
      </c>
      <c r="D9" s="5">
        <v>3.5617037248318422E-4</v>
      </c>
      <c r="E9" s="5">
        <v>2.0596343559099966E-4</v>
      </c>
      <c r="F9" s="5">
        <v>7.5067891996010664E-4</v>
      </c>
      <c r="G9" s="5">
        <v>1.2465868534286102E-3</v>
      </c>
      <c r="H9" s="13">
        <v>2.8918859277023809E-3</v>
      </c>
      <c r="I9" s="5">
        <v>-5.5982310692278734E-4</v>
      </c>
      <c r="J9" s="5">
        <v>-8.322607058940107E-4</v>
      </c>
      <c r="K9" s="26">
        <v>1.6543848255376888E-3</v>
      </c>
    </row>
    <row r="10" spans="1:16" x14ac:dyDescent="0.3">
      <c r="A10" s="123" t="s">
        <v>5</v>
      </c>
      <c r="B10" s="5">
        <v>2.0480484132816487E-3</v>
      </c>
      <c r="C10" s="5">
        <v>3.626258720316721E-3</v>
      </c>
      <c r="D10" s="5">
        <v>2.0916950817047694E-3</v>
      </c>
      <c r="E10" s="5">
        <v>8.055460496440871E-4</v>
      </c>
      <c r="F10" s="5">
        <v>6.7855125038007225E-4</v>
      </c>
      <c r="G10" s="5">
        <v>-6.0479574676497959E-5</v>
      </c>
      <c r="H10" s="5">
        <v>-5.5982310692278734E-4</v>
      </c>
      <c r="I10" s="13">
        <v>1.1320029492750884E-2</v>
      </c>
      <c r="J10" s="5">
        <v>2.561488300893265E-3</v>
      </c>
      <c r="K10" s="26">
        <v>1.5467643123695337E-4</v>
      </c>
    </row>
    <row r="11" spans="1:16" x14ac:dyDescent="0.3">
      <c r="A11" s="123" t="s">
        <v>6</v>
      </c>
      <c r="B11" s="5">
        <v>1.6541391183282979E-3</v>
      </c>
      <c r="C11" s="5">
        <v>1.9560923843086604E-3</v>
      </c>
      <c r="D11" s="5">
        <v>1.7302484395852337E-3</v>
      </c>
      <c r="E11" s="5">
        <v>1.1082172439013185E-3</v>
      </c>
      <c r="F11" s="5">
        <v>8.8718876413875869E-4</v>
      </c>
      <c r="G11" s="5">
        <v>-9.3026099262344863E-4</v>
      </c>
      <c r="H11" s="5">
        <v>-8.322607058940107E-4</v>
      </c>
      <c r="I11" s="5">
        <v>2.561488300893265E-3</v>
      </c>
      <c r="J11" s="13">
        <v>9.3913833633057133E-3</v>
      </c>
      <c r="K11" s="26">
        <v>4.9534915568241079E-5</v>
      </c>
    </row>
    <row r="12" spans="1:16" x14ac:dyDescent="0.3">
      <c r="A12" s="124" t="s">
        <v>7</v>
      </c>
      <c r="B12" s="28">
        <v>3.9002786236243103E-3</v>
      </c>
      <c r="C12" s="28">
        <v>1.328068868617993E-3</v>
      </c>
      <c r="D12" s="28">
        <v>2.9130318008172697E-3</v>
      </c>
      <c r="E12" s="28">
        <v>2.4817365788556136E-3</v>
      </c>
      <c r="F12" s="28">
        <v>3.4766449752419537E-3</v>
      </c>
      <c r="G12" s="28">
        <v>5.9807192590821733E-4</v>
      </c>
      <c r="H12" s="28">
        <v>1.6543848255376888E-3</v>
      </c>
      <c r="I12" s="28">
        <v>1.5467643123695337E-4</v>
      </c>
      <c r="J12" s="28">
        <v>4.9534915568241079E-5</v>
      </c>
      <c r="K12" s="127">
        <v>2.0842490773238641E-2</v>
      </c>
    </row>
    <row r="14" spans="1:16" x14ac:dyDescent="0.3">
      <c r="A14" s="20" t="s">
        <v>66</v>
      </c>
      <c r="B14" s="22"/>
      <c r="D14" s="86" t="s">
        <v>67</v>
      </c>
      <c r="F14" t="s">
        <v>29</v>
      </c>
    </row>
    <row r="15" spans="1:16" x14ac:dyDescent="0.3">
      <c r="A15" s="23" t="s">
        <v>0</v>
      </c>
      <c r="B15" s="26">
        <v>2.4266687078894917E-2</v>
      </c>
      <c r="D15" s="128">
        <f>SQRT(0.00651933151341803)</f>
        <v>8.0742377432287876E-2</v>
      </c>
      <c r="F15" t="s">
        <v>0</v>
      </c>
      <c r="G15" t="s">
        <v>64</v>
      </c>
      <c r="H15" t="s">
        <v>65</v>
      </c>
      <c r="I15" t="s">
        <v>1</v>
      </c>
      <c r="J15" t="s">
        <v>2</v>
      </c>
      <c r="K15" t="s">
        <v>4</v>
      </c>
      <c r="L15" t="s">
        <v>13</v>
      </c>
      <c r="M15" t="s">
        <v>5</v>
      </c>
      <c r="N15" t="s">
        <v>68</v>
      </c>
      <c r="O15" t="s">
        <v>7</v>
      </c>
      <c r="P15" t="s">
        <v>53</v>
      </c>
    </row>
    <row r="16" spans="1:16" x14ac:dyDescent="0.3">
      <c r="A16" s="23" t="s">
        <v>17</v>
      </c>
      <c r="B16" s="26">
        <v>1.8519404790574453E-2</v>
      </c>
      <c r="D16" s="128">
        <f>SQRT(0.00796327389222818)</f>
        <v>8.9237177746879587E-2</v>
      </c>
      <c r="F16" s="7">
        <v>0.1</v>
      </c>
      <c r="G16" s="7">
        <v>0.1</v>
      </c>
      <c r="H16" s="7">
        <v>0.1</v>
      </c>
      <c r="I16" s="7">
        <v>0.1</v>
      </c>
      <c r="J16" s="7">
        <v>0.1</v>
      </c>
      <c r="K16" s="7">
        <v>0.1</v>
      </c>
      <c r="L16" s="7">
        <v>0.1</v>
      </c>
      <c r="M16" s="7">
        <v>0.1</v>
      </c>
      <c r="N16" s="7">
        <v>0.1</v>
      </c>
      <c r="O16" s="7">
        <v>0.1</v>
      </c>
      <c r="P16" s="7">
        <f>SUM(F16:O16)</f>
        <v>0.99999999999999989</v>
      </c>
    </row>
    <row r="17" spans="1:12" x14ac:dyDescent="0.3">
      <c r="A17" s="23" t="s">
        <v>65</v>
      </c>
      <c r="B17" s="26">
        <v>1.0700275344899866E-2</v>
      </c>
      <c r="D17" s="128">
        <f>SQRT(0.00620940349714009)</f>
        <v>7.8799768382528196E-2</v>
      </c>
    </row>
    <row r="18" spans="1:12" ht="43.2" x14ac:dyDescent="0.3">
      <c r="A18" s="23" t="s">
        <v>1</v>
      </c>
      <c r="B18" s="26">
        <v>1.2575794266858873E-2</v>
      </c>
      <c r="D18" s="128">
        <v>4.8037189882485969E-3</v>
      </c>
      <c r="F18" s="48" t="s">
        <v>33</v>
      </c>
      <c r="G18" s="5">
        <f>F16*B15+G16*B16+H16*B17+I16*B18+J16*B19+K16*B20+L16*B21+M16*B22+N16*B23+O16*B24</f>
        <v>1.4367106576803545E-2</v>
      </c>
    </row>
    <row r="19" spans="1:12" x14ac:dyDescent="0.3">
      <c r="A19" s="23" t="s">
        <v>2</v>
      </c>
      <c r="B19" s="26">
        <v>2.1258510456685878E-2</v>
      </c>
      <c r="D19" s="128">
        <f>SQRT(0.00372573470405919)</f>
        <v>6.1038796712084599E-2</v>
      </c>
    </row>
    <row r="20" spans="1:12" x14ac:dyDescent="0.3">
      <c r="A20" s="23" t="s">
        <v>4</v>
      </c>
      <c r="B20" s="26">
        <v>1.4317675829852678E-2</v>
      </c>
      <c r="D20" s="128">
        <f>SQRT(0.00383120565045276)</f>
        <v>6.1896733762394601E-2</v>
      </c>
      <c r="F20" t="s">
        <v>38</v>
      </c>
      <c r="G20" s="5" cm="1">
        <f t="array" ref="G20">MMULT(MMULT(F16:O16,B3:K12),TRANSPOSE(F16:O16))</f>
        <v>2.1118368554417597E-3</v>
      </c>
    </row>
    <row r="21" spans="1:12" x14ac:dyDescent="0.3">
      <c r="A21" s="23" t="s">
        <v>13</v>
      </c>
      <c r="B21" s="26">
        <v>8.8334802790644117E-3</v>
      </c>
      <c r="D21" s="128">
        <f>SQRT(0.00289188592770238)</f>
        <v>5.377625802993715E-2</v>
      </c>
    </row>
    <row r="22" spans="1:12" ht="28.8" x14ac:dyDescent="0.3">
      <c r="A22" s="23" t="s">
        <v>5</v>
      </c>
      <c r="B22" s="26">
        <v>-1.5309349758267255E-3</v>
      </c>
      <c r="D22" s="128">
        <f>SQRT(0.0113200294927509)</f>
        <v>0.10639562722570368</v>
      </c>
      <c r="F22" s="48" t="s">
        <v>39</v>
      </c>
      <c r="G22" s="5">
        <f>SQRT(G20)</f>
        <v>4.5954726149132472E-2</v>
      </c>
    </row>
    <row r="23" spans="1:12" x14ac:dyDescent="0.3">
      <c r="A23" t="s">
        <v>6</v>
      </c>
      <c r="B23" s="26">
        <v>1.3109002750260737E-2</v>
      </c>
      <c r="D23" s="128">
        <f>SQRT(0.00939138336330571)</f>
        <v>9.6909150049444295E-2</v>
      </c>
    </row>
    <row r="24" spans="1:12" x14ac:dyDescent="0.3">
      <c r="A24" s="71" t="s">
        <v>7</v>
      </c>
      <c r="B24" s="29">
        <v>2.1621169946770352E-2</v>
      </c>
      <c r="D24" s="129">
        <f>SQRT(0.0208424907732386)</f>
        <v>0.14436928611459779</v>
      </c>
    </row>
    <row r="27" spans="1:12" x14ac:dyDescent="0.3">
      <c r="B27" t="s">
        <v>36</v>
      </c>
      <c r="C27" s="5">
        <v>2.2416333180945141E-3</v>
      </c>
    </row>
    <row r="28" spans="1:12" ht="15" thickBot="1" x14ac:dyDescent="0.35"/>
    <row r="29" spans="1:12" ht="15" thickBot="1" x14ac:dyDescent="0.35">
      <c r="F29" s="72" t="s">
        <v>29</v>
      </c>
      <c r="G29" s="78"/>
      <c r="H29" s="78"/>
      <c r="I29" s="78"/>
      <c r="J29" s="110"/>
    </row>
    <row r="30" spans="1:12" x14ac:dyDescent="0.3">
      <c r="B30" s="72" t="s">
        <v>37</v>
      </c>
      <c r="C30" s="78" t="s">
        <v>38</v>
      </c>
      <c r="D30" s="110" t="s">
        <v>39</v>
      </c>
      <c r="F30" s="74" t="s">
        <v>7</v>
      </c>
      <c r="G30" t="s">
        <v>13</v>
      </c>
      <c r="H30" t="s">
        <v>4</v>
      </c>
      <c r="I30" t="s">
        <v>5</v>
      </c>
      <c r="J30" s="81" t="s">
        <v>6</v>
      </c>
      <c r="L30" t="s">
        <v>40</v>
      </c>
    </row>
    <row r="31" spans="1:12" x14ac:dyDescent="0.3">
      <c r="A31">
        <v>1</v>
      </c>
      <c r="B31" s="111">
        <v>-4.4249999964856663E-3</v>
      </c>
      <c r="C31" s="5">
        <v>1.047822556225852E-2</v>
      </c>
      <c r="D31" s="75">
        <v>0.10236320414220396</v>
      </c>
      <c r="F31" s="111">
        <v>-0.23436310919319323</v>
      </c>
      <c r="G31" s="5">
        <v>-0.25467730409518979</v>
      </c>
      <c r="H31" s="5">
        <v>0.81873542193746074</v>
      </c>
      <c r="I31" s="5">
        <v>0.80128219806534851</v>
      </c>
      <c r="J31" s="75">
        <v>-0.13097720671442595</v>
      </c>
      <c r="L31">
        <v>-4.4250000000000001E-3</v>
      </c>
    </row>
    <row r="32" spans="1:12" x14ac:dyDescent="0.3">
      <c r="A32">
        <v>2</v>
      </c>
      <c r="B32" s="111">
        <v>-1.5310000167614753E-3</v>
      </c>
      <c r="C32" s="5">
        <v>7.4183095327623565E-3</v>
      </c>
      <c r="D32" s="75">
        <v>8.6129608920291492E-2</v>
      </c>
      <c r="F32" s="111">
        <v>-0.18643587079621249</v>
      </c>
      <c r="G32" s="5">
        <v>-0.12892651444518222</v>
      </c>
      <c r="H32" s="5">
        <v>0.71628797196481386</v>
      </c>
      <c r="I32" s="5">
        <v>0.67177158264918402</v>
      </c>
      <c r="J32" s="75">
        <v>-7.2697169372602982E-2</v>
      </c>
      <c r="L32">
        <v>-1.531E-3</v>
      </c>
    </row>
    <row r="33" spans="1:12" x14ac:dyDescent="0.3">
      <c r="A33">
        <v>3</v>
      </c>
      <c r="B33" s="111">
        <v>1.3629999711574281E-3</v>
      </c>
      <c r="C33" s="5">
        <v>4.9839194490593486E-3</v>
      </c>
      <c r="D33" s="75">
        <v>7.0596879881899513E-2</v>
      </c>
      <c r="F33" s="111">
        <v>-0.13850870195040565</v>
      </c>
      <c r="G33" s="5">
        <v>-3.1757979336067632E-3</v>
      </c>
      <c r="H33" s="5">
        <v>0.61384074204732153</v>
      </c>
      <c r="I33" s="5">
        <v>0.54226085592946227</v>
      </c>
      <c r="J33" s="75">
        <v>-1.4417098092771469E-2</v>
      </c>
      <c r="L33">
        <v>1.3630000000000001E-3</v>
      </c>
    </row>
    <row r="34" spans="1:12" x14ac:dyDescent="0.3">
      <c r="A34">
        <v>4</v>
      </c>
      <c r="B34" s="111">
        <v>4.2569999735574092E-3</v>
      </c>
      <c r="C34" s="5">
        <v>3.175055313213149E-3</v>
      </c>
      <c r="D34" s="75">
        <v>5.634762917118296E-2</v>
      </c>
      <c r="F34" s="111">
        <v>-9.0581606288398342E-2</v>
      </c>
      <c r="G34" s="5">
        <v>0.122574891786406</v>
      </c>
      <c r="H34" s="5">
        <v>0.51139325944176794</v>
      </c>
      <c r="I34" s="5">
        <v>0.41275015725340031</v>
      </c>
      <c r="J34" s="75">
        <v>4.3863297806824131E-2</v>
      </c>
      <c r="L34">
        <v>4.2570000000000004E-3</v>
      </c>
    </row>
    <row r="35" spans="1:12" x14ac:dyDescent="0.3">
      <c r="A35">
        <v>5</v>
      </c>
      <c r="B35" s="111">
        <v>7.1509999708360842E-3</v>
      </c>
      <c r="C35" s="5">
        <v>1.9917171405098911E-3</v>
      </c>
      <c r="D35" s="75">
        <v>4.462865828713531E-2</v>
      </c>
      <c r="F35" s="111">
        <v>-4.2654296754784549E-2</v>
      </c>
      <c r="G35" s="5">
        <v>0.24832551487677126</v>
      </c>
      <c r="H35" s="5">
        <v>0.40894586061688021</v>
      </c>
      <c r="I35" s="5">
        <v>0.283239553310842</v>
      </c>
      <c r="J35" s="75">
        <v>0.10214336795029096</v>
      </c>
      <c r="L35">
        <v>7.1510000000000002E-3</v>
      </c>
    </row>
    <row r="36" spans="1:12" x14ac:dyDescent="0.3">
      <c r="A36">
        <v>6</v>
      </c>
      <c r="B36" s="111">
        <v>1.0044999970675388E-2</v>
      </c>
      <c r="C36" s="5">
        <v>1.4339049269794174E-3</v>
      </c>
      <c r="D36" s="75">
        <v>3.7866937121708397E-2</v>
      </c>
      <c r="F36" s="111">
        <v>5.2728881831143309E-3</v>
      </c>
      <c r="G36" s="5">
        <v>0.37407620582863926</v>
      </c>
      <c r="H36" s="5">
        <v>0.30649853139532957</v>
      </c>
      <c r="I36" s="5">
        <v>0.15372886202443944</v>
      </c>
      <c r="J36" s="75">
        <v>0.16042351256847753</v>
      </c>
      <c r="L36">
        <v>1.0045E-2</v>
      </c>
    </row>
    <row r="37" spans="1:12" x14ac:dyDescent="0.3">
      <c r="A37">
        <v>7</v>
      </c>
      <c r="B37" s="111">
        <v>1.2938999970514498E-2</v>
      </c>
      <c r="C37" s="5">
        <v>1.5016186739449597E-3</v>
      </c>
      <c r="D37" s="75">
        <v>3.8750724818317393E-2</v>
      </c>
      <c r="F37" s="111">
        <v>5.3200055589958467E-2</v>
      </c>
      <c r="G37" s="5">
        <v>0.49982689971609329</v>
      </c>
      <c r="H37" s="5">
        <v>0.20405117038878481</v>
      </c>
      <c r="I37" s="5">
        <v>2.4218170069901512E-2</v>
      </c>
      <c r="J37" s="75">
        <v>0.21870370423526181</v>
      </c>
      <c r="L37">
        <v>1.2939000000000001E-2</v>
      </c>
    </row>
    <row r="38" spans="1:12" x14ac:dyDescent="0.3">
      <c r="B38" s="117">
        <v>1.5587707125358501E-2</v>
      </c>
      <c r="C38" s="116">
        <v>2.1118374481496364E-3</v>
      </c>
      <c r="D38" s="118">
        <v>4.5954732597955961E-2</v>
      </c>
      <c r="F38" s="117">
        <v>9.7063051516410953E-2</v>
      </c>
      <c r="G38" s="116">
        <v>0.61499346570822599</v>
      </c>
      <c r="H38" s="116">
        <v>0.11022526538710518</v>
      </c>
      <c r="I38" s="116">
        <v>-9.4292204703608176E-2</v>
      </c>
      <c r="J38" s="118">
        <v>0.27201042209186582</v>
      </c>
    </row>
    <row r="39" spans="1:12" x14ac:dyDescent="0.3">
      <c r="A39">
        <v>8</v>
      </c>
      <c r="B39" s="111">
        <v>1.5833011240432671E-2</v>
      </c>
      <c r="C39" s="5">
        <v>2.1948622990787354E-3</v>
      </c>
      <c r="D39" s="75">
        <v>4.6849357509775258E-2</v>
      </c>
      <c r="F39" s="111">
        <v>0.10112745891475761</v>
      </c>
      <c r="G39" s="5">
        <v>0.62557802698188514</v>
      </c>
      <c r="H39" s="5">
        <v>0.10160342142584096</v>
      </c>
      <c r="I39" s="5">
        <v>-0.10529300545069241</v>
      </c>
      <c r="J39" s="75">
        <v>0.27698409812820912</v>
      </c>
      <c r="L39">
        <v>1.5833E-2</v>
      </c>
    </row>
    <row r="40" spans="1:12" x14ac:dyDescent="0.3">
      <c r="A40">
        <v>9</v>
      </c>
      <c r="B40" s="111">
        <v>2.1621011240111267E-2</v>
      </c>
      <c r="C40" s="5">
        <v>5.4579244674507954E-3</v>
      </c>
      <c r="D40" s="75">
        <v>7.387776707136455E-2</v>
      </c>
      <c r="F40" s="111">
        <v>0.19698183567366689</v>
      </c>
      <c r="G40" s="5">
        <v>0.87707930565558456</v>
      </c>
      <c r="H40" s="5">
        <v>-0.10329121823908423</v>
      </c>
      <c r="I40" s="5">
        <v>-0.36431439802816296</v>
      </c>
      <c r="J40" s="75">
        <v>0.39354447493799588</v>
      </c>
      <c r="L40">
        <v>2.1621000000000001E-2</v>
      </c>
    </row>
    <row r="41" spans="1:12" ht="15" thickBot="1" x14ac:dyDescent="0.35">
      <c r="A41">
        <v>10</v>
      </c>
      <c r="B41" s="112">
        <v>2.4515011239950556E-2</v>
      </c>
      <c r="C41" s="113">
        <v>8.0277444923810698E-3</v>
      </c>
      <c r="D41" s="80">
        <v>8.9597681289088446E-2</v>
      </c>
      <c r="F41" s="112">
        <v>0.24490899599349403</v>
      </c>
      <c r="G41" s="113">
        <v>1.0028299737210282</v>
      </c>
      <c r="H41" s="113">
        <v>-0.20573852838613016</v>
      </c>
      <c r="I41" s="113">
        <v>-0.49382511108848415</v>
      </c>
      <c r="J41" s="80">
        <v>0.45182466976009217</v>
      </c>
      <c r="L41">
        <v>2.4514999999999999E-2</v>
      </c>
    </row>
    <row r="44" spans="1:12" x14ac:dyDescent="0.3">
      <c r="B44" t="s">
        <v>41</v>
      </c>
      <c r="C44">
        <v>2.1118368554417597E-3</v>
      </c>
    </row>
    <row r="46" spans="1:12" ht="15" thickBot="1" x14ac:dyDescent="0.35"/>
    <row r="47" spans="1:12" x14ac:dyDescent="0.3">
      <c r="B47" s="72" t="s">
        <v>37</v>
      </c>
      <c r="C47" s="78" t="s">
        <v>38</v>
      </c>
      <c r="D47" s="110" t="s">
        <v>39</v>
      </c>
      <c r="E47" s="72" t="s">
        <v>29</v>
      </c>
      <c r="F47" s="78" t="s">
        <v>7</v>
      </c>
      <c r="G47" s="78" t="s">
        <v>13</v>
      </c>
      <c r="H47" s="78" t="s">
        <v>4</v>
      </c>
      <c r="I47" s="78" t="s">
        <v>5</v>
      </c>
      <c r="J47" s="110" t="s">
        <v>6</v>
      </c>
      <c r="L47" t="s">
        <v>42</v>
      </c>
    </row>
    <row r="48" spans="1:12" x14ac:dyDescent="0.3">
      <c r="B48" s="111">
        <v>1.1178722106586264E-2</v>
      </c>
      <c r="C48" s="5">
        <v>1.3859061204517056E-3</v>
      </c>
      <c r="D48" s="75">
        <v>3.7227760078356924E-2</v>
      </c>
      <c r="E48" s="111"/>
      <c r="F48" s="5">
        <v>2.4048305925928156E-2</v>
      </c>
      <c r="G48" s="5">
        <v>0.42333872964008401</v>
      </c>
      <c r="H48" s="5">
        <v>0.26636518090909467</v>
      </c>
      <c r="I48" s="5">
        <v>0.1029930703743263</v>
      </c>
      <c r="J48" s="75">
        <v>0.18325474995324298</v>
      </c>
      <c r="L48">
        <v>1.3859061204517056E-3</v>
      </c>
    </row>
    <row r="49" spans="2:12" x14ac:dyDescent="0.3">
      <c r="B49" s="111">
        <v>1.2939001068294827E-2</v>
      </c>
      <c r="C49" s="5">
        <v>1.5016191899972033E-3</v>
      </c>
      <c r="D49" s="75">
        <v>3.8750731476930901E-2</v>
      </c>
      <c r="E49" s="111"/>
      <c r="F49" s="5">
        <v>5.3167874343832175E-2</v>
      </c>
      <c r="G49" s="5">
        <v>0.49986283191117936</v>
      </c>
      <c r="H49" s="5">
        <v>0.20421866673426109</v>
      </c>
      <c r="I49" s="5">
        <v>2.4153433863479189E-2</v>
      </c>
      <c r="J49" s="75">
        <v>0.21859719314796047</v>
      </c>
      <c r="L49">
        <v>1.5016186739449597E-3</v>
      </c>
    </row>
    <row r="50" spans="2:12" ht="15" thickBot="1" x14ac:dyDescent="0.35">
      <c r="B50" s="112">
        <v>1.5833016088254014E-2</v>
      </c>
      <c r="C50" s="113">
        <v>2.1948641243225995E-3</v>
      </c>
      <c r="D50" s="80">
        <v>4.6849376989695386E-2</v>
      </c>
      <c r="E50" s="112"/>
      <c r="F50" s="113">
        <v>0.10112560816174154</v>
      </c>
      <c r="G50" s="113">
        <v>0.62558008457781678</v>
      </c>
      <c r="H50" s="113">
        <v>0.10171159697606801</v>
      </c>
      <c r="I50" s="113">
        <v>-0.10532583494658686</v>
      </c>
      <c r="J50" s="80">
        <v>0.27690854523096053</v>
      </c>
      <c r="L50">
        <v>2.1948622990787354E-3</v>
      </c>
    </row>
    <row r="52" spans="2:12" x14ac:dyDescent="0.3">
      <c r="B52" s="83" t="s">
        <v>63</v>
      </c>
    </row>
    <row r="53" spans="2:12" x14ac:dyDescent="0.3">
      <c r="B53" s="12" t="s">
        <v>37</v>
      </c>
      <c r="C53" s="87" t="s">
        <v>38</v>
      </c>
      <c r="D53" s="87" t="s">
        <v>39</v>
      </c>
    </row>
    <row r="54" spans="2:12" x14ac:dyDescent="0.3">
      <c r="B54" s="5">
        <v>1.378884467263585E-2</v>
      </c>
      <c r="C54" s="5">
        <v>2.7003721852300031E-3</v>
      </c>
      <c r="D54" s="5">
        <v>5.1965105457701159E-2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A841-1AA3-4F96-8075-87507E8C58C8}">
  <dimension ref="A2:L56"/>
  <sheetViews>
    <sheetView topLeftCell="A10" workbookViewId="0">
      <selection activeCell="B19" sqref="B19"/>
    </sheetView>
  </sheetViews>
  <sheetFormatPr defaultRowHeight="14.4" x14ac:dyDescent="0.3"/>
  <cols>
    <col min="2" max="2" width="36.109375" customWidth="1"/>
    <col min="3" max="3" width="20" bestFit="1" customWidth="1"/>
    <col min="4" max="4" width="20.77734375" bestFit="1" customWidth="1"/>
    <col min="5" max="5" width="17" customWidth="1"/>
    <col min="6" max="6" width="13.44140625" customWidth="1"/>
    <col min="7" max="7" width="16.6640625" bestFit="1" customWidth="1"/>
    <col min="8" max="10" width="10.109375" bestFit="1" customWidth="1"/>
    <col min="11" max="11" width="12.88671875" bestFit="1" customWidth="1"/>
    <col min="12" max="12" width="16.88671875" bestFit="1" customWidth="1"/>
  </cols>
  <sheetData>
    <row r="2" spans="2:11" x14ac:dyDescent="0.3">
      <c r="B2" s="30" t="s">
        <v>18</v>
      </c>
      <c r="C2" s="31">
        <v>2.1621169946770352E-2</v>
      </c>
    </row>
    <row r="3" spans="2:11" x14ac:dyDescent="0.3">
      <c r="B3" s="32" t="s">
        <v>19</v>
      </c>
      <c r="C3" s="33">
        <v>1.4317675829852678E-2</v>
      </c>
    </row>
    <row r="4" spans="2:11" x14ac:dyDescent="0.3">
      <c r="B4" s="32" t="s">
        <v>20</v>
      </c>
      <c r="C4" s="33">
        <v>8.8334802790644117E-3</v>
      </c>
    </row>
    <row r="5" spans="2:11" x14ac:dyDescent="0.3">
      <c r="B5" s="32" t="s">
        <v>21</v>
      </c>
      <c r="C5" s="33">
        <v>-1.5309349758267255E-3</v>
      </c>
    </row>
    <row r="6" spans="2:11" x14ac:dyDescent="0.3">
      <c r="B6" s="34" t="s">
        <v>22</v>
      </c>
      <c r="C6" s="35">
        <v>1.3109002750260737E-2</v>
      </c>
    </row>
    <row r="7" spans="2:11" x14ac:dyDescent="0.3">
      <c r="E7" s="14" t="s">
        <v>12</v>
      </c>
    </row>
    <row r="8" spans="2:11" x14ac:dyDescent="0.3">
      <c r="F8" s="15" t="s">
        <v>7</v>
      </c>
      <c r="G8" s="15" t="s">
        <v>13</v>
      </c>
      <c r="H8" s="15" t="s">
        <v>4</v>
      </c>
      <c r="I8" s="15" t="s">
        <v>5</v>
      </c>
      <c r="J8" s="15" t="s">
        <v>6</v>
      </c>
    </row>
    <row r="9" spans="2:11" x14ac:dyDescent="0.3">
      <c r="B9" s="36" t="s">
        <v>23</v>
      </c>
      <c r="C9" s="37">
        <v>2.0842490773238641E-2</v>
      </c>
      <c r="E9" s="15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2:11" x14ac:dyDescent="0.3">
      <c r="B10" s="38" t="s">
        <v>24</v>
      </c>
      <c r="C10" s="39">
        <v>2.8918859277023809E-3</v>
      </c>
      <c r="E10" s="15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2:11" x14ac:dyDescent="0.3">
      <c r="B11" s="38" t="s">
        <v>25</v>
      </c>
      <c r="C11" s="39">
        <v>3.8312056504527583E-3</v>
      </c>
      <c r="E11" s="15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2:11" x14ac:dyDescent="0.3">
      <c r="B12" s="38" t="s">
        <v>26</v>
      </c>
      <c r="C12" s="39">
        <v>1.1320029492750884E-2</v>
      </c>
      <c r="E12" s="15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2:11" x14ac:dyDescent="0.3">
      <c r="B13" s="40" t="s">
        <v>27</v>
      </c>
      <c r="C13" s="41">
        <v>9.3913833633057133E-3</v>
      </c>
      <c r="E13" s="15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5" spans="2:11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</row>
    <row r="16" spans="2:11" x14ac:dyDescent="0.3">
      <c r="B16" s="44" t="s">
        <v>30</v>
      </c>
      <c r="C16" s="45">
        <f t="shared" ref="C16:C19" si="0">SQRT(C10)</f>
        <v>5.3776258029937157E-2</v>
      </c>
      <c r="F16" s="7">
        <v>0.2</v>
      </c>
      <c r="G16" s="7">
        <v>0.2</v>
      </c>
      <c r="H16" s="7">
        <v>0.2</v>
      </c>
      <c r="I16" s="7">
        <v>0.2</v>
      </c>
      <c r="J16" s="7">
        <v>0.2</v>
      </c>
      <c r="K16" s="16">
        <f>SUM(F16:J16)</f>
        <v>1</v>
      </c>
    </row>
    <row r="17" spans="1:12" x14ac:dyDescent="0.3">
      <c r="B17" s="44" t="s">
        <v>31</v>
      </c>
      <c r="C17" s="45">
        <f t="shared" si="0"/>
        <v>6.1896733762394587E-2</v>
      </c>
    </row>
    <row r="18" spans="1:12" ht="43.2" x14ac:dyDescent="0.3">
      <c r="B18" s="44" t="s">
        <v>32</v>
      </c>
      <c r="C18" s="45">
        <f t="shared" si="0"/>
        <v>0.10639562722570362</v>
      </c>
      <c r="E18" s="48" t="s">
        <v>33</v>
      </c>
      <c r="F18" s="5">
        <f>F16*C2+G16*C3+H16*C4+I16*C5+J16*C6</f>
        <v>1.1270078766024288E-2</v>
      </c>
      <c r="J18">
        <f>(F18-C23)/F22</f>
        <v>7.2412031655503778E-2</v>
      </c>
    </row>
    <row r="19" spans="1:12" x14ac:dyDescent="0.3">
      <c r="B19" s="46" t="s">
        <v>144</v>
      </c>
      <c r="C19" s="47">
        <f t="shared" si="0"/>
        <v>9.6909150049444323E-2</v>
      </c>
    </row>
    <row r="20" spans="1:12" ht="28.8" x14ac:dyDescent="0.3">
      <c r="E20" s="48" t="s">
        <v>34</v>
      </c>
      <c r="F20" s="5" cm="1">
        <f t="array" ref="F20">MMULT(MMULT(F16:J16,F9:J13),TRANSPOSE(F16:J16))</f>
        <v>2.2416333180945141E-3</v>
      </c>
    </row>
    <row r="22" spans="1:12" ht="28.8" x14ac:dyDescent="0.3">
      <c r="E22" s="48" t="s">
        <v>39</v>
      </c>
      <c r="F22" s="5">
        <f>SQRT(F20)</f>
        <v>4.7345890192228027E-2</v>
      </c>
    </row>
    <row r="23" spans="1:12" x14ac:dyDescent="0.3">
      <c r="B23" t="s">
        <v>69</v>
      </c>
      <c r="C23" s="5">
        <f>(0.04705*2)/12</f>
        <v>7.8416666666666669E-3</v>
      </c>
      <c r="F23" s="5"/>
    </row>
    <row r="25" spans="1:12" x14ac:dyDescent="0.3">
      <c r="B25" t="s">
        <v>36</v>
      </c>
      <c r="C25">
        <v>1.7000000000000001E-2</v>
      </c>
    </row>
    <row r="27" spans="1:12" x14ac:dyDescent="0.3">
      <c r="F27" s="17" t="s">
        <v>29</v>
      </c>
      <c r="G27" s="18"/>
      <c r="H27" s="18"/>
      <c r="I27" s="18"/>
      <c r="J27" s="19"/>
    </row>
    <row r="28" spans="1:12" x14ac:dyDescent="0.3">
      <c r="B28" s="20" t="s">
        <v>37</v>
      </c>
      <c r="C28" s="21" t="s">
        <v>38</v>
      </c>
      <c r="D28" s="22" t="s">
        <v>39</v>
      </c>
      <c r="F28" s="23" t="s">
        <v>7</v>
      </c>
      <c r="G28" t="s">
        <v>13</v>
      </c>
      <c r="H28" t="s">
        <v>4</v>
      </c>
      <c r="I28" t="s">
        <v>5</v>
      </c>
      <c r="J28" s="24" t="s">
        <v>6</v>
      </c>
      <c r="K28" t="s">
        <v>70</v>
      </c>
      <c r="L28" t="s">
        <v>40</v>
      </c>
    </row>
    <row r="29" spans="1:12" x14ac:dyDescent="0.3">
      <c r="A29">
        <v>1</v>
      </c>
      <c r="B29" s="25">
        <v>-4.4249999964856663E-3</v>
      </c>
      <c r="C29" s="5">
        <v>1.047822556225852E-2</v>
      </c>
      <c r="D29" s="26">
        <v>0.10236320414220396</v>
      </c>
      <c r="F29" s="25">
        <v>-0.23436310919319323</v>
      </c>
      <c r="G29" s="5">
        <v>-0.25467730409518979</v>
      </c>
      <c r="H29" s="5">
        <v>0.81873542193746074</v>
      </c>
      <c r="I29" s="5">
        <v>0.80128219806534851</v>
      </c>
      <c r="J29" s="26">
        <v>-0.13097720671442595</v>
      </c>
      <c r="K29" s="5">
        <f>(B29-C23)/D29</f>
        <v>-0.11983472739004303</v>
      </c>
      <c r="L29">
        <v>-4.4250000000000001E-3</v>
      </c>
    </row>
    <row r="30" spans="1:12" x14ac:dyDescent="0.3">
      <c r="A30">
        <v>2</v>
      </c>
      <c r="B30" s="25">
        <v>-1.5310000167614753E-3</v>
      </c>
      <c r="C30" s="5">
        <v>7.4183095327623565E-3</v>
      </c>
      <c r="D30" s="26">
        <v>8.6129608920291492E-2</v>
      </c>
      <c r="F30" s="25">
        <v>-0.18643587079621249</v>
      </c>
      <c r="G30" s="5">
        <v>-0.12892651444518222</v>
      </c>
      <c r="H30" s="5">
        <v>0.71628797196481386</v>
      </c>
      <c r="I30" s="5">
        <v>0.67177158264918402</v>
      </c>
      <c r="J30" s="26">
        <v>-7.2697169372602982E-2</v>
      </c>
      <c r="K30" s="5">
        <f>(B30-C23)/D30</f>
        <v>-0.10882049507622937</v>
      </c>
      <c r="L30">
        <v>-1.531E-3</v>
      </c>
    </row>
    <row r="31" spans="1:12" x14ac:dyDescent="0.3">
      <c r="A31">
        <v>3</v>
      </c>
      <c r="B31" s="25">
        <v>1.3629999711574281E-3</v>
      </c>
      <c r="C31" s="5">
        <v>4.9839194490593486E-3</v>
      </c>
      <c r="D31" s="26">
        <v>7.0596879881899513E-2</v>
      </c>
      <c r="F31" s="25">
        <v>-0.13850870195040565</v>
      </c>
      <c r="G31" s="5">
        <v>-3.1757979336067632E-3</v>
      </c>
      <c r="H31" s="5">
        <v>0.61384074204732153</v>
      </c>
      <c r="I31" s="5">
        <v>0.54226085592946227</v>
      </c>
      <c r="J31" s="26">
        <v>-1.4417098092771469E-2</v>
      </c>
      <c r="K31" s="5">
        <f>(B31-C23)/D31</f>
        <v>-9.1769872922816215E-2</v>
      </c>
      <c r="L31">
        <v>1.3630000000000001E-3</v>
      </c>
    </row>
    <row r="32" spans="1:12" x14ac:dyDescent="0.3">
      <c r="A32">
        <v>4</v>
      </c>
      <c r="B32" s="25">
        <v>4.2569999735574092E-3</v>
      </c>
      <c r="C32" s="5">
        <v>3.175055313213149E-3</v>
      </c>
      <c r="D32" s="26">
        <v>5.634762917118296E-2</v>
      </c>
      <c r="F32" s="25">
        <v>-9.0581606288398342E-2</v>
      </c>
      <c r="G32" s="5">
        <v>0.122574891786406</v>
      </c>
      <c r="H32" s="5">
        <v>0.51139325944176794</v>
      </c>
      <c r="I32" s="5">
        <v>0.41275015725340031</v>
      </c>
      <c r="J32" s="26">
        <v>4.3863297806824131E-2</v>
      </c>
      <c r="K32" s="5">
        <f>(B32-C23)/D32</f>
        <v>-6.3616992335544631E-2</v>
      </c>
      <c r="L32">
        <v>4.2570000000000004E-3</v>
      </c>
    </row>
    <row r="33" spans="1:12" x14ac:dyDescent="0.3">
      <c r="A33">
        <v>5</v>
      </c>
      <c r="B33" s="25">
        <v>7.1509999708360842E-3</v>
      </c>
      <c r="C33" s="5">
        <v>1.9917171405098911E-3</v>
      </c>
      <c r="D33" s="26">
        <v>4.462865828713531E-2</v>
      </c>
      <c r="F33" s="25">
        <v>-4.2654296754784549E-2</v>
      </c>
      <c r="G33" s="5">
        <v>0.24832551487677126</v>
      </c>
      <c r="H33" s="5">
        <v>0.40894586061688021</v>
      </c>
      <c r="I33" s="5">
        <v>0.283239553310842</v>
      </c>
      <c r="J33" s="26">
        <v>0.10214336795029096</v>
      </c>
      <c r="K33" s="5">
        <f>(B33-C23)/D33</f>
        <v>-1.5475856150254798E-2</v>
      </c>
      <c r="L33">
        <v>7.1510000000000002E-3</v>
      </c>
    </row>
    <row r="34" spans="1:12" x14ac:dyDescent="0.3">
      <c r="A34">
        <v>6</v>
      </c>
      <c r="B34" s="25">
        <v>1.0044999970675388E-2</v>
      </c>
      <c r="C34" s="5">
        <v>1.4339049269794174E-3</v>
      </c>
      <c r="D34" s="26">
        <v>3.7866937121708397E-2</v>
      </c>
      <c r="F34" s="25">
        <v>5.2728881831143309E-3</v>
      </c>
      <c r="G34" s="5">
        <v>0.37407620582863926</v>
      </c>
      <c r="H34" s="5">
        <v>0.30649853139532957</v>
      </c>
      <c r="I34" s="5">
        <v>0.15372886202443944</v>
      </c>
      <c r="J34" s="26">
        <v>0.16042351256847753</v>
      </c>
      <c r="K34" s="5">
        <f>(B34-C23)/D34</f>
        <v>5.8186203360651313E-2</v>
      </c>
      <c r="L34">
        <v>1.0045E-2</v>
      </c>
    </row>
    <row r="35" spans="1:12" x14ac:dyDescent="0.3">
      <c r="A35">
        <v>7</v>
      </c>
      <c r="B35" s="25">
        <v>1.2938999970514498E-2</v>
      </c>
      <c r="C35" s="5">
        <v>1.5016186739449597E-3</v>
      </c>
      <c r="D35" s="26">
        <v>3.8750724818317393E-2</v>
      </c>
      <c r="F35" s="25">
        <v>5.3200055589958467E-2</v>
      </c>
      <c r="G35" s="5">
        <v>0.49982689971609329</v>
      </c>
      <c r="H35" s="5">
        <v>0.20405117038878481</v>
      </c>
      <c r="I35" s="5">
        <v>2.4218170069901512E-2</v>
      </c>
      <c r="J35" s="26">
        <v>0.21870370423526181</v>
      </c>
      <c r="K35" s="5">
        <f>(B35-C23)/D35</f>
        <v>0.13154162477596629</v>
      </c>
      <c r="L35">
        <v>1.2939000000000001E-2</v>
      </c>
    </row>
    <row r="36" spans="1:12" x14ac:dyDescent="0.3">
      <c r="A36">
        <v>8</v>
      </c>
      <c r="B36" s="25">
        <v>1.5833011240432671E-2</v>
      </c>
      <c r="C36" s="5">
        <v>2.1948622990787354E-3</v>
      </c>
      <c r="D36" s="26">
        <v>4.6849357509775258E-2</v>
      </c>
      <c r="F36" s="25">
        <v>0.10112745891475761</v>
      </c>
      <c r="G36" s="5">
        <v>0.62557802698188514</v>
      </c>
      <c r="H36" s="5">
        <v>0.10160342142584096</v>
      </c>
      <c r="I36" s="5">
        <v>-0.10529300545069241</v>
      </c>
      <c r="J36" s="26">
        <v>0.27698409812820912</v>
      </c>
      <c r="K36" s="5">
        <f>(B36-C23)/D36</f>
        <v>0.1705753290661155</v>
      </c>
      <c r="L36">
        <v>1.5833E-2</v>
      </c>
    </row>
    <row r="37" spans="1:12" x14ac:dyDescent="0.3">
      <c r="A37">
        <v>9</v>
      </c>
      <c r="B37" s="25">
        <v>2.1621011240111267E-2</v>
      </c>
      <c r="C37" s="5">
        <v>5.4579244674507954E-3</v>
      </c>
      <c r="D37" s="26">
        <v>7.387776707136455E-2</v>
      </c>
      <c r="F37" s="25">
        <v>0.19698183567366689</v>
      </c>
      <c r="G37" s="5">
        <v>0.87707930565558456</v>
      </c>
      <c r="H37" s="5">
        <v>-0.10329121823908423</v>
      </c>
      <c r="I37" s="5">
        <v>-0.36431439802816296</v>
      </c>
      <c r="J37" s="26">
        <v>0.39354447493799588</v>
      </c>
      <c r="K37" s="5">
        <f>(B37-C23)/D37</f>
        <v>0.18651544462807071</v>
      </c>
      <c r="L37">
        <v>2.1621000000000001E-2</v>
      </c>
    </row>
    <row r="38" spans="1:12" x14ac:dyDescent="0.3">
      <c r="A38">
        <v>10</v>
      </c>
      <c r="B38" s="27">
        <v>2.4515011239950556E-2</v>
      </c>
      <c r="C38" s="28">
        <v>8.0277444923810698E-3</v>
      </c>
      <c r="D38" s="29">
        <v>8.9597681289088446E-2</v>
      </c>
      <c r="F38" s="27">
        <v>0.24490899599349403</v>
      </c>
      <c r="G38" s="28">
        <v>1.0028299737210282</v>
      </c>
      <c r="H38" s="28">
        <v>-0.20573852838613016</v>
      </c>
      <c r="I38" s="28">
        <v>-0.49382511108848415</v>
      </c>
      <c r="J38" s="29">
        <v>0.45182466976009217</v>
      </c>
      <c r="K38" s="5">
        <f>(B38-C23)/D38</f>
        <v>0.18609125072653451</v>
      </c>
      <c r="L38">
        <v>2.4514999999999999E-2</v>
      </c>
    </row>
    <row r="40" spans="1:12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 t="s">
        <v>71</v>
      </c>
    </row>
    <row r="41" spans="1:12" x14ac:dyDescent="0.3">
      <c r="B41" s="130">
        <v>2.2299931022739874E-2</v>
      </c>
      <c r="C41" s="130">
        <v>6.0046331563076922E-3</v>
      </c>
      <c r="D41" s="130">
        <v>7.7489568048271451E-2</v>
      </c>
      <c r="E41" s="130"/>
      <c r="F41" s="130">
        <v>0.20822769131665672</v>
      </c>
      <c r="G41" s="130">
        <v>0.90657874481229417</v>
      </c>
      <c r="H41" s="130">
        <v>-0.1273267072744253</v>
      </c>
      <c r="I41" s="130">
        <v>-0.39469524636241049</v>
      </c>
      <c r="J41" s="130">
        <v>0.40721551750788559</v>
      </c>
      <c r="K41" s="130">
        <v>0.18658336496425632</v>
      </c>
    </row>
    <row r="43" spans="1:12" x14ac:dyDescent="0.3">
      <c r="B43" t="s">
        <v>41</v>
      </c>
      <c r="C43">
        <v>2.1948622990787354E-3</v>
      </c>
    </row>
    <row r="45" spans="1:12" ht="15" thickBot="1" x14ac:dyDescent="0.35"/>
    <row r="46" spans="1:12" x14ac:dyDescent="0.3">
      <c r="B46" s="72" t="s">
        <v>37</v>
      </c>
      <c r="C46" s="78" t="s">
        <v>38</v>
      </c>
      <c r="D46" s="110" t="s">
        <v>39</v>
      </c>
      <c r="E46" s="72" t="s">
        <v>29</v>
      </c>
      <c r="F46" s="78" t="s">
        <v>7</v>
      </c>
      <c r="G46" s="78" t="s">
        <v>13</v>
      </c>
      <c r="H46" s="78" t="s">
        <v>4</v>
      </c>
      <c r="I46" s="78" t="s">
        <v>5</v>
      </c>
      <c r="J46" s="110" t="s">
        <v>6</v>
      </c>
      <c r="L46" t="s">
        <v>42</v>
      </c>
    </row>
    <row r="47" spans="1:12" x14ac:dyDescent="0.3">
      <c r="B47" s="111">
        <v>1.1178722106586264E-2</v>
      </c>
      <c r="C47" s="5">
        <v>1.3859061204517056E-3</v>
      </c>
      <c r="D47" s="75">
        <v>3.7227760078356924E-2</v>
      </c>
      <c r="E47" s="111"/>
      <c r="F47" s="5">
        <v>2.4048305925928156E-2</v>
      </c>
      <c r="G47" s="5">
        <v>0.42333872964008401</v>
      </c>
      <c r="H47" s="5">
        <v>0.26636518090909467</v>
      </c>
      <c r="I47" s="5">
        <v>0.1029930703743263</v>
      </c>
      <c r="J47" s="75">
        <v>0.18325474995324298</v>
      </c>
      <c r="L47">
        <v>1.3859061204517056E-3</v>
      </c>
    </row>
    <row r="48" spans="1:12" x14ac:dyDescent="0.3">
      <c r="B48" s="111">
        <v>1.2939001068294827E-2</v>
      </c>
      <c r="C48" s="5">
        <v>1.5016191899972033E-3</v>
      </c>
      <c r="D48" s="75">
        <v>3.8750731476930901E-2</v>
      </c>
      <c r="E48" s="111"/>
      <c r="F48" s="5">
        <v>5.3167874343832175E-2</v>
      </c>
      <c r="G48" s="5">
        <v>0.49986283191117936</v>
      </c>
      <c r="H48" s="5">
        <v>0.20421866673426109</v>
      </c>
      <c r="I48" s="5">
        <v>2.4153433863479189E-2</v>
      </c>
      <c r="J48" s="75">
        <v>0.21859719314796047</v>
      </c>
      <c r="L48">
        <v>1.5016186739449597E-3</v>
      </c>
    </row>
    <row r="49" spans="2:12" ht="15" thickBot="1" x14ac:dyDescent="0.35">
      <c r="B49" s="112">
        <v>1.5833016088254014E-2</v>
      </c>
      <c r="C49" s="113">
        <v>2.1948641243225995E-3</v>
      </c>
      <c r="D49" s="80">
        <v>4.6849376989695386E-2</v>
      </c>
      <c r="E49" s="112"/>
      <c r="F49" s="113">
        <v>0.10112560816174154</v>
      </c>
      <c r="G49" s="113">
        <v>0.62558008457781678</v>
      </c>
      <c r="H49" s="113">
        <v>0.10171159697606801</v>
      </c>
      <c r="I49" s="113">
        <v>-0.10532583494658686</v>
      </c>
      <c r="J49" s="80">
        <v>0.27690854523096053</v>
      </c>
      <c r="L49">
        <v>2.1948622990787354E-3</v>
      </c>
    </row>
    <row r="51" spans="2:12" ht="15" thickBot="1" x14ac:dyDescent="0.35"/>
    <row r="52" spans="2:12" x14ac:dyDescent="0.3">
      <c r="B52" s="179" t="s">
        <v>72</v>
      </c>
      <c r="C52" s="180"/>
      <c r="D52" s="181"/>
    </row>
    <row r="53" spans="2:12" x14ac:dyDescent="0.3">
      <c r="B53" s="74" t="s">
        <v>136</v>
      </c>
      <c r="C53" t="s">
        <v>137</v>
      </c>
      <c r="D53" s="81" t="s">
        <v>39</v>
      </c>
    </row>
    <row r="54" spans="2:12" x14ac:dyDescent="0.3">
      <c r="B54" s="74">
        <v>0</v>
      </c>
      <c r="C54" s="5">
        <f>C23*(1-B54)+B54*B41</f>
        <v>7.8416666666666669E-3</v>
      </c>
      <c r="D54" s="75">
        <f>B54*D41+(1-B54)*0</f>
        <v>0</v>
      </c>
    </row>
    <row r="55" spans="2:12" x14ac:dyDescent="0.3">
      <c r="B55" s="74">
        <v>1</v>
      </c>
      <c r="C55" s="5">
        <f>(1-B55)*C23+B41*B55</f>
        <v>2.2299931022739874E-2</v>
      </c>
      <c r="D55" s="75">
        <f>B55*D41+(1-B55)*0</f>
        <v>7.7489568048271451E-2</v>
      </c>
    </row>
    <row r="56" spans="2:12" ht="15" thickBot="1" x14ac:dyDescent="0.35">
      <c r="B56" s="76">
        <v>2</v>
      </c>
      <c r="C56" s="113">
        <f>(B56*B41)+(1-B56)*C23</f>
        <v>3.6758195378813086E-2</v>
      </c>
      <c r="D56" s="80">
        <f>B56*D41+(1-B56)*0</f>
        <v>0.1549791360965429</v>
      </c>
    </row>
  </sheetData>
  <mergeCells count="1">
    <mergeCell ref="B52:D5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DFD0-5808-4BA2-8252-11B2B4141E9C}">
  <dimension ref="A2:L74"/>
  <sheetViews>
    <sheetView topLeftCell="A15" workbookViewId="0">
      <selection activeCell="B19" sqref="B19"/>
    </sheetView>
  </sheetViews>
  <sheetFormatPr defaultRowHeight="14.4" x14ac:dyDescent="0.3"/>
  <cols>
    <col min="2" max="2" width="33.33203125" customWidth="1"/>
    <col min="3" max="3" width="13.109375" customWidth="1"/>
    <col min="4" max="4" width="21.6640625" bestFit="1" customWidth="1"/>
    <col min="5" max="5" width="16.5546875" customWidth="1"/>
    <col min="6" max="6" width="11.5546875" customWidth="1"/>
    <col min="7" max="7" width="16.33203125" customWidth="1"/>
    <col min="8" max="8" width="9.21875" customWidth="1"/>
    <col min="9" max="9" width="9.109375" bestFit="1" customWidth="1"/>
    <col min="10" max="10" width="9" bestFit="1" customWidth="1"/>
    <col min="11" max="11" width="12.77734375" customWidth="1"/>
    <col min="12" max="12" width="16.88671875" bestFit="1" customWidth="1"/>
  </cols>
  <sheetData>
    <row r="2" spans="2:11" x14ac:dyDescent="0.3">
      <c r="B2" s="30" t="s">
        <v>18</v>
      </c>
      <c r="C2" s="31">
        <v>2.1621169946770352E-2</v>
      </c>
    </row>
    <row r="3" spans="2:11" x14ac:dyDescent="0.3">
      <c r="B3" s="32" t="s">
        <v>19</v>
      </c>
      <c r="C3" s="33">
        <v>1.4317675829852678E-2</v>
      </c>
    </row>
    <row r="4" spans="2:11" x14ac:dyDescent="0.3">
      <c r="B4" s="32" t="s">
        <v>20</v>
      </c>
      <c r="C4" s="33">
        <v>8.8334802790644117E-3</v>
      </c>
    </row>
    <row r="5" spans="2:11" x14ac:dyDescent="0.3">
      <c r="B5" s="32" t="s">
        <v>21</v>
      </c>
      <c r="C5" s="33">
        <v>-1.5309349758267255E-3</v>
      </c>
    </row>
    <row r="6" spans="2:11" x14ac:dyDescent="0.3">
      <c r="B6" s="34" t="s">
        <v>22</v>
      </c>
      <c r="C6" s="35">
        <v>1.3109002750260737E-2</v>
      </c>
    </row>
    <row r="7" spans="2:11" x14ac:dyDescent="0.3">
      <c r="E7" s="14" t="s">
        <v>12</v>
      </c>
    </row>
    <row r="8" spans="2:11" x14ac:dyDescent="0.3">
      <c r="F8" s="91" t="s">
        <v>7</v>
      </c>
      <c r="G8" s="91" t="s">
        <v>13</v>
      </c>
      <c r="H8" s="91" t="s">
        <v>4</v>
      </c>
      <c r="I8" s="91" t="s">
        <v>5</v>
      </c>
      <c r="J8" s="91" t="s">
        <v>6</v>
      </c>
    </row>
    <row r="9" spans="2:11" x14ac:dyDescent="0.3">
      <c r="B9" s="36" t="s">
        <v>23</v>
      </c>
      <c r="C9" s="37">
        <v>2.0842490773238641E-2</v>
      </c>
      <c r="E9" s="91" t="s">
        <v>7</v>
      </c>
      <c r="F9" s="13">
        <v>2.0842490773238641E-2</v>
      </c>
      <c r="G9" s="5">
        <v>1.6543848255376888E-3</v>
      </c>
      <c r="H9" s="5">
        <v>5.9807192590821733E-4</v>
      </c>
      <c r="I9" s="5">
        <v>1.5467643123695337E-4</v>
      </c>
      <c r="J9" s="5">
        <v>4.9534915568241079E-5</v>
      </c>
    </row>
    <row r="10" spans="2:11" x14ac:dyDescent="0.3">
      <c r="B10" s="38" t="s">
        <v>24</v>
      </c>
      <c r="C10" s="39">
        <v>2.8918859277023809E-3</v>
      </c>
      <c r="E10" s="91" t="s">
        <v>13</v>
      </c>
      <c r="F10" s="5">
        <v>1.6543848255376888E-3</v>
      </c>
      <c r="G10" s="13">
        <v>2.8918859277023809E-3</v>
      </c>
      <c r="H10" s="5">
        <v>1.2465868534286102E-3</v>
      </c>
      <c r="I10" s="5">
        <v>-5.5982310692278734E-4</v>
      </c>
      <c r="J10" s="5">
        <v>-8.322607058940107E-4</v>
      </c>
    </row>
    <row r="11" spans="2:11" x14ac:dyDescent="0.3">
      <c r="B11" s="38" t="s">
        <v>25</v>
      </c>
      <c r="C11" s="39">
        <v>3.8312056504527583E-3</v>
      </c>
      <c r="E11" s="91" t="s">
        <v>4</v>
      </c>
      <c r="F11" s="5">
        <v>5.9807192590821733E-4</v>
      </c>
      <c r="G11" s="5">
        <v>1.2465868534286102E-3</v>
      </c>
      <c r="H11" s="13">
        <v>3.8312056504527583E-3</v>
      </c>
      <c r="I11" s="5">
        <v>-6.0479574676497959E-5</v>
      </c>
      <c r="J11" s="5">
        <v>-9.3026099262344863E-4</v>
      </c>
    </row>
    <row r="12" spans="2:11" x14ac:dyDescent="0.3">
      <c r="B12" s="38" t="s">
        <v>26</v>
      </c>
      <c r="C12" s="39">
        <v>1.1320029492750884E-2</v>
      </c>
      <c r="E12" s="91" t="s">
        <v>5</v>
      </c>
      <c r="F12" s="5">
        <v>1.5467643123695337E-4</v>
      </c>
      <c r="G12" s="5">
        <v>-5.5982310692278734E-4</v>
      </c>
      <c r="H12" s="5">
        <v>-6.0479574676497959E-5</v>
      </c>
      <c r="I12" s="13">
        <v>1.1320029492750884E-2</v>
      </c>
      <c r="J12" s="5">
        <v>2.561488300893265E-3</v>
      </c>
    </row>
    <row r="13" spans="2:11" x14ac:dyDescent="0.3">
      <c r="B13" s="40" t="s">
        <v>27</v>
      </c>
      <c r="C13" s="41">
        <v>9.3913833633057133E-3</v>
      </c>
      <c r="E13" s="91" t="s">
        <v>6</v>
      </c>
      <c r="F13" s="5">
        <v>4.9534915568241079E-5</v>
      </c>
      <c r="G13" s="5">
        <v>-8.322607058940107E-4</v>
      </c>
      <c r="H13" s="5">
        <v>-9.3026099262344863E-4</v>
      </c>
      <c r="I13" s="5">
        <v>2.561488300893265E-3</v>
      </c>
      <c r="J13" s="13">
        <v>9.3913833633057133E-3</v>
      </c>
    </row>
    <row r="15" spans="2:11" x14ac:dyDescent="0.3">
      <c r="B15" s="42" t="s">
        <v>28</v>
      </c>
      <c r="C15" s="43">
        <f>SQRT(C9)</f>
        <v>0.14436928611459793</v>
      </c>
      <c r="E15" t="s">
        <v>29</v>
      </c>
      <c r="F15" t="s">
        <v>7</v>
      </c>
      <c r="G15" t="s">
        <v>13</v>
      </c>
      <c r="H15" t="s">
        <v>4</v>
      </c>
      <c r="I15" t="s">
        <v>5</v>
      </c>
      <c r="J15" t="s">
        <v>6</v>
      </c>
    </row>
    <row r="16" spans="2:11" x14ac:dyDescent="0.3">
      <c r="B16" s="44" t="s">
        <v>30</v>
      </c>
      <c r="C16" s="45">
        <f t="shared" ref="C16:C19" si="0">SQRT(C10)</f>
        <v>5.3776258029937157E-2</v>
      </c>
      <c r="F16" s="7">
        <v>8.8661981001032425E-2</v>
      </c>
      <c r="G16" s="7">
        <v>0.59287135918664913</v>
      </c>
      <c r="H16" s="7">
        <v>0.12824921984692761</v>
      </c>
      <c r="I16" s="7">
        <v>-7.1608297023210865E-2</v>
      </c>
      <c r="J16" s="7">
        <v>0.26182573698860157</v>
      </c>
      <c r="K16" s="16">
        <f>SUM(F16:J16)</f>
        <v>0.99999999999999989</v>
      </c>
    </row>
    <row r="17" spans="1:12" x14ac:dyDescent="0.3">
      <c r="B17" s="44" t="s">
        <v>31</v>
      </c>
      <c r="C17" s="45">
        <f t="shared" si="0"/>
        <v>6.1896733762394587E-2</v>
      </c>
    </row>
    <row r="18" spans="1:12" ht="43.2" x14ac:dyDescent="0.3">
      <c r="B18" s="44" t="s">
        <v>32</v>
      </c>
      <c r="C18" s="45">
        <f t="shared" si="0"/>
        <v>0.10639562722570362</v>
      </c>
      <c r="E18" s="48" t="s">
        <v>33</v>
      </c>
      <c r="F18" s="5">
        <f>F16*C2+G16*C3+H16*C4+I16*C5+J16*C6</f>
        <v>1.5080304595747314E-2</v>
      </c>
    </row>
    <row r="19" spans="1:12" x14ac:dyDescent="0.3">
      <c r="B19" s="46" t="s">
        <v>144</v>
      </c>
      <c r="C19" s="47">
        <f t="shared" si="0"/>
        <v>9.6909150049444323E-2</v>
      </c>
    </row>
    <row r="20" spans="1:12" ht="28.8" x14ac:dyDescent="0.3">
      <c r="E20" s="48" t="s">
        <v>34</v>
      </c>
      <c r="F20" s="5" cm="1">
        <f t="array" ref="F20">MMULT(MMULT(F16:J16,F9:J13),TRANSPOSE(F16:J16))</f>
        <v>1.9543660415354495E-3</v>
      </c>
    </row>
    <row r="22" spans="1:12" ht="28.8" x14ac:dyDescent="0.3">
      <c r="E22" s="48" t="s">
        <v>39</v>
      </c>
      <c r="F22" s="5">
        <f>SQRT(F20)</f>
        <v>4.4208212376609955E-2</v>
      </c>
    </row>
    <row r="23" spans="1:12" x14ac:dyDescent="0.3">
      <c r="B23" t="s">
        <v>69</v>
      </c>
      <c r="C23" s="5">
        <f>(0.04705*2)/12</f>
        <v>7.8416666666666669E-3</v>
      </c>
      <c r="F23" s="5"/>
    </row>
    <row r="25" spans="1:12" x14ac:dyDescent="0.3">
      <c r="B25" t="s">
        <v>36</v>
      </c>
      <c r="C25">
        <v>1.7000000000000001E-2</v>
      </c>
    </row>
    <row r="27" spans="1:12" x14ac:dyDescent="0.3">
      <c r="F27" s="172" t="s">
        <v>29</v>
      </c>
      <c r="G27" s="173"/>
      <c r="H27" s="173"/>
      <c r="I27" s="173"/>
      <c r="J27" s="174"/>
    </row>
    <row r="28" spans="1:12" x14ac:dyDescent="0.3">
      <c r="B28" s="20" t="s">
        <v>37</v>
      </c>
      <c r="C28" s="21" t="s">
        <v>38</v>
      </c>
      <c r="D28" s="22" t="s">
        <v>39</v>
      </c>
      <c r="F28" s="23" t="s">
        <v>7</v>
      </c>
      <c r="G28" t="s">
        <v>13</v>
      </c>
      <c r="H28" t="s">
        <v>4</v>
      </c>
      <c r="I28" t="s">
        <v>5</v>
      </c>
      <c r="J28" s="24" t="s">
        <v>6</v>
      </c>
      <c r="K28" t="s">
        <v>70</v>
      </c>
      <c r="L28" t="s">
        <v>40</v>
      </c>
    </row>
    <row r="29" spans="1:12" x14ac:dyDescent="0.3">
      <c r="A29">
        <v>1</v>
      </c>
      <c r="B29" s="25">
        <v>-4.4249999964856663E-3</v>
      </c>
      <c r="C29" s="5">
        <v>1.047822556225852E-2</v>
      </c>
      <c r="D29" s="26">
        <v>0.10236320414220396</v>
      </c>
      <c r="F29" s="25">
        <v>-0.23436310919319323</v>
      </c>
      <c r="G29" s="5">
        <v>-0.25467730409518979</v>
      </c>
      <c r="H29" s="5">
        <v>0.81873542193746074</v>
      </c>
      <c r="I29" s="5">
        <v>0.80128219806534851</v>
      </c>
      <c r="J29" s="26">
        <v>-0.13097720671442595</v>
      </c>
      <c r="K29" s="5">
        <f>(B29-C23)/D29</f>
        <v>-0.11983472739004303</v>
      </c>
      <c r="L29">
        <v>-4.4250000000000001E-3</v>
      </c>
    </row>
    <row r="30" spans="1:12" x14ac:dyDescent="0.3">
      <c r="A30">
        <v>2</v>
      </c>
      <c r="B30" s="25">
        <v>-1.5310000167614753E-3</v>
      </c>
      <c r="C30" s="5">
        <v>7.4183095327623565E-3</v>
      </c>
      <c r="D30" s="26">
        <v>8.6129608920291492E-2</v>
      </c>
      <c r="F30" s="25">
        <v>-0.18643587079621249</v>
      </c>
      <c r="G30" s="5">
        <v>-0.12892651444518222</v>
      </c>
      <c r="H30" s="5">
        <v>0.71628797196481386</v>
      </c>
      <c r="I30" s="5">
        <v>0.67177158264918402</v>
      </c>
      <c r="J30" s="26">
        <v>-7.2697169372602982E-2</v>
      </c>
      <c r="K30" s="5">
        <f>(B30-C23)/D30</f>
        <v>-0.10882049507622937</v>
      </c>
      <c r="L30">
        <v>-1.531E-3</v>
      </c>
    </row>
    <row r="31" spans="1:12" x14ac:dyDescent="0.3">
      <c r="A31">
        <v>3</v>
      </c>
      <c r="B31" s="25">
        <v>1.3629999711574281E-3</v>
      </c>
      <c r="C31" s="5">
        <v>4.9839194490593486E-3</v>
      </c>
      <c r="D31" s="26">
        <v>7.0596879881899513E-2</v>
      </c>
      <c r="F31" s="25">
        <v>-0.13850870195040565</v>
      </c>
      <c r="G31" s="5">
        <v>-3.1757979336067632E-3</v>
      </c>
      <c r="H31" s="5">
        <v>0.61384074204732153</v>
      </c>
      <c r="I31" s="5">
        <v>0.54226085592946227</v>
      </c>
      <c r="J31" s="26">
        <v>-1.4417098092771469E-2</v>
      </c>
      <c r="K31" s="5">
        <f>(B31-C23)/D31</f>
        <v>-9.1769872922816215E-2</v>
      </c>
      <c r="L31">
        <v>1.3630000000000001E-3</v>
      </c>
    </row>
    <row r="32" spans="1:12" x14ac:dyDescent="0.3">
      <c r="A32">
        <v>4</v>
      </c>
      <c r="B32" s="25">
        <v>4.2569999735574092E-3</v>
      </c>
      <c r="C32" s="5">
        <v>3.175055313213149E-3</v>
      </c>
      <c r="D32" s="26">
        <v>5.634762917118296E-2</v>
      </c>
      <c r="F32" s="25">
        <v>-9.0581606288398342E-2</v>
      </c>
      <c r="G32" s="5">
        <v>0.122574891786406</v>
      </c>
      <c r="H32" s="5">
        <v>0.51139325944176794</v>
      </c>
      <c r="I32" s="5">
        <v>0.41275015725340031</v>
      </c>
      <c r="J32" s="26">
        <v>4.3863297806824131E-2</v>
      </c>
      <c r="K32" s="5">
        <f>(B32-C23)/D32</f>
        <v>-6.3616992335544631E-2</v>
      </c>
      <c r="L32">
        <v>4.2570000000000004E-3</v>
      </c>
    </row>
    <row r="33" spans="1:12" x14ac:dyDescent="0.3">
      <c r="A33">
        <v>5</v>
      </c>
      <c r="B33" s="25">
        <v>7.1509999708360842E-3</v>
      </c>
      <c r="C33" s="5">
        <v>1.9917171405098911E-3</v>
      </c>
      <c r="D33" s="26">
        <v>4.462865828713531E-2</v>
      </c>
      <c r="F33" s="25">
        <v>-4.2654296754784549E-2</v>
      </c>
      <c r="G33" s="5">
        <v>0.24832551487677126</v>
      </c>
      <c r="H33" s="5">
        <v>0.40894586061688021</v>
      </c>
      <c r="I33" s="5">
        <v>0.283239553310842</v>
      </c>
      <c r="J33" s="26">
        <v>0.10214336795029096</v>
      </c>
      <c r="K33" s="5">
        <f>(B33-C23)/D33</f>
        <v>-1.5475856150254798E-2</v>
      </c>
      <c r="L33">
        <v>7.1510000000000002E-3</v>
      </c>
    </row>
    <row r="34" spans="1:12" x14ac:dyDescent="0.3">
      <c r="A34">
        <v>6</v>
      </c>
      <c r="B34" s="25">
        <v>1.0044999970675388E-2</v>
      </c>
      <c r="C34" s="5">
        <v>1.4339049269794174E-3</v>
      </c>
      <c r="D34" s="26">
        <v>3.7866937121708397E-2</v>
      </c>
      <c r="F34" s="25">
        <v>5.2728881831143309E-3</v>
      </c>
      <c r="G34" s="5">
        <v>0.37407620582863926</v>
      </c>
      <c r="H34" s="5">
        <v>0.30649853139532957</v>
      </c>
      <c r="I34" s="5">
        <v>0.15372886202443944</v>
      </c>
      <c r="J34" s="26">
        <v>0.16042351256847753</v>
      </c>
      <c r="K34" s="5">
        <f>(B34-C23)/D34</f>
        <v>5.8186203360651313E-2</v>
      </c>
      <c r="L34">
        <v>1.0045E-2</v>
      </c>
    </row>
    <row r="35" spans="1:12" x14ac:dyDescent="0.3">
      <c r="A35">
        <v>7</v>
      </c>
      <c r="B35" s="25">
        <v>1.2938999970514498E-2</v>
      </c>
      <c r="C35" s="5">
        <v>1.5016186739449597E-3</v>
      </c>
      <c r="D35" s="26">
        <v>3.8750724818317393E-2</v>
      </c>
      <c r="F35" s="25">
        <v>5.3200055589958467E-2</v>
      </c>
      <c r="G35" s="5">
        <v>0.49982689971609329</v>
      </c>
      <c r="H35" s="5">
        <v>0.20405117038878481</v>
      </c>
      <c r="I35" s="5">
        <v>2.4218170069901512E-2</v>
      </c>
      <c r="J35" s="26">
        <v>0.21870370423526181</v>
      </c>
      <c r="K35" s="5">
        <f>(B35-C23)/D35</f>
        <v>0.13154162477596629</v>
      </c>
      <c r="L35">
        <v>1.2939000000000001E-2</v>
      </c>
    </row>
    <row r="36" spans="1:12" x14ac:dyDescent="0.3">
      <c r="A36">
        <v>8</v>
      </c>
      <c r="B36" s="25">
        <v>1.5833011240432671E-2</v>
      </c>
      <c r="C36" s="5">
        <v>2.1948622990787354E-3</v>
      </c>
      <c r="D36" s="26">
        <v>4.6849357509775258E-2</v>
      </c>
      <c r="F36" s="25">
        <v>0.10112745891475761</v>
      </c>
      <c r="G36" s="5">
        <v>0.62557802698188514</v>
      </c>
      <c r="H36" s="5">
        <v>0.10160342142584096</v>
      </c>
      <c r="I36" s="5">
        <v>-0.10529300545069241</v>
      </c>
      <c r="J36" s="26">
        <v>0.27698409812820912</v>
      </c>
      <c r="K36" s="5">
        <f>(B36-C23)/D36</f>
        <v>0.1705753290661155</v>
      </c>
      <c r="L36">
        <v>1.5833E-2</v>
      </c>
    </row>
    <row r="37" spans="1:12" x14ac:dyDescent="0.3">
      <c r="A37">
        <v>9</v>
      </c>
      <c r="B37" s="25">
        <v>2.1621011240111267E-2</v>
      </c>
      <c r="C37" s="5">
        <v>5.4579244674507954E-3</v>
      </c>
      <c r="D37" s="26">
        <v>7.387776707136455E-2</v>
      </c>
      <c r="F37" s="25">
        <v>0.19698183567366689</v>
      </c>
      <c r="G37" s="5">
        <v>0.87707930565558456</v>
      </c>
      <c r="H37" s="5">
        <v>-0.10329121823908423</v>
      </c>
      <c r="I37" s="5">
        <v>-0.36431439802816296</v>
      </c>
      <c r="J37" s="26">
        <v>0.39354447493799588</v>
      </c>
      <c r="K37" s="5">
        <f>(B37-C23)/D37</f>
        <v>0.18651544462807071</v>
      </c>
      <c r="L37">
        <v>2.1621000000000001E-2</v>
      </c>
    </row>
    <row r="38" spans="1:12" x14ac:dyDescent="0.3">
      <c r="A38">
        <v>10</v>
      </c>
      <c r="B38" s="27">
        <v>2.4515011239950556E-2</v>
      </c>
      <c r="C38" s="28">
        <v>8.0277444923810698E-3</v>
      </c>
      <c r="D38" s="29">
        <v>8.9597681289088446E-2</v>
      </c>
      <c r="F38" s="27">
        <v>0.24490899599349403</v>
      </c>
      <c r="G38" s="28">
        <v>1.0028299737210282</v>
      </c>
      <c r="H38" s="28">
        <v>-0.20573852838613016</v>
      </c>
      <c r="I38" s="28">
        <v>-0.49382511108848415</v>
      </c>
      <c r="J38" s="29">
        <v>0.45182466976009217</v>
      </c>
      <c r="K38" s="5">
        <f>(B38-C23)/D38</f>
        <v>0.18609125072653451</v>
      </c>
      <c r="L38">
        <v>2.4514999999999999E-2</v>
      </c>
    </row>
    <row r="40" spans="1:12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 t="s">
        <v>71</v>
      </c>
    </row>
    <row r="41" spans="1:12" x14ac:dyDescent="0.3">
      <c r="B41" s="130">
        <v>2.2299931022739874E-2</v>
      </c>
      <c r="C41" s="130">
        <v>6.0046331563076922E-3</v>
      </c>
      <c r="D41" s="130">
        <v>7.7489568048271451E-2</v>
      </c>
      <c r="E41" s="15"/>
      <c r="F41" s="130">
        <v>0.20822769131665672</v>
      </c>
      <c r="G41" s="130">
        <v>0.90657874481229417</v>
      </c>
      <c r="H41" s="130">
        <v>-0.1273267072744253</v>
      </c>
      <c r="I41" s="130">
        <v>-0.39469524636241049</v>
      </c>
      <c r="J41" s="130">
        <v>0.40721551750788559</v>
      </c>
      <c r="K41" s="130">
        <v>0.18658336496425632</v>
      </c>
    </row>
    <row r="43" spans="1:12" x14ac:dyDescent="0.3">
      <c r="B43" t="s">
        <v>41</v>
      </c>
      <c r="C43">
        <v>2.1948622990787354E-3</v>
      </c>
    </row>
    <row r="45" spans="1:12" ht="15" thickBot="1" x14ac:dyDescent="0.35"/>
    <row r="46" spans="1:12" x14ac:dyDescent="0.3">
      <c r="B46" s="72" t="s">
        <v>37</v>
      </c>
      <c r="C46" s="78" t="s">
        <v>38</v>
      </c>
      <c r="D46" s="110" t="s">
        <v>39</v>
      </c>
      <c r="E46" s="72" t="s">
        <v>29</v>
      </c>
      <c r="F46" s="78" t="s">
        <v>7</v>
      </c>
      <c r="G46" s="78" t="s">
        <v>13</v>
      </c>
      <c r="H46" s="78" t="s">
        <v>4</v>
      </c>
      <c r="I46" s="78" t="s">
        <v>5</v>
      </c>
      <c r="J46" s="110" t="s">
        <v>6</v>
      </c>
      <c r="L46" t="s">
        <v>42</v>
      </c>
    </row>
    <row r="47" spans="1:12" x14ac:dyDescent="0.3">
      <c r="B47" s="111">
        <v>1.1178722106586264E-2</v>
      </c>
      <c r="C47" s="5">
        <v>1.3859061204517056E-3</v>
      </c>
      <c r="D47" s="75">
        <v>3.7227760078356924E-2</v>
      </c>
      <c r="E47" s="111"/>
      <c r="F47" s="5">
        <v>2.4048305925928156E-2</v>
      </c>
      <c r="G47" s="5">
        <v>0.42333872964008401</v>
      </c>
      <c r="H47" s="5">
        <v>0.26636518090909467</v>
      </c>
      <c r="I47" s="5">
        <v>0.1029930703743263</v>
      </c>
      <c r="J47" s="75">
        <v>0.18325474995324298</v>
      </c>
      <c r="L47">
        <v>1.3859061204517056E-3</v>
      </c>
    </row>
    <row r="48" spans="1:12" x14ac:dyDescent="0.3">
      <c r="B48" s="111">
        <v>1.2939001068294827E-2</v>
      </c>
      <c r="C48" s="5">
        <v>1.5016191899972033E-3</v>
      </c>
      <c r="D48" s="75">
        <v>3.8750731476930901E-2</v>
      </c>
      <c r="E48" s="111"/>
      <c r="F48" s="5">
        <v>5.3167874343832175E-2</v>
      </c>
      <c r="G48" s="5">
        <v>0.49986283191117936</v>
      </c>
      <c r="H48" s="5">
        <v>0.20421866673426109</v>
      </c>
      <c r="I48" s="5">
        <v>2.4153433863479189E-2</v>
      </c>
      <c r="J48" s="75">
        <v>0.21859719314796047</v>
      </c>
      <c r="L48">
        <v>1.5016186739449597E-3</v>
      </c>
    </row>
    <row r="49" spans="2:12" ht="15" thickBot="1" x14ac:dyDescent="0.35">
      <c r="B49" s="112">
        <v>1.5833016088254014E-2</v>
      </c>
      <c r="C49" s="113">
        <v>2.1948641243225995E-3</v>
      </c>
      <c r="D49" s="80">
        <v>4.6849376989695386E-2</v>
      </c>
      <c r="E49" s="112"/>
      <c r="F49" s="113">
        <v>0.10112560816174154</v>
      </c>
      <c r="G49" s="113">
        <v>0.62558008457781678</v>
      </c>
      <c r="H49" s="113">
        <v>0.10171159697606801</v>
      </c>
      <c r="I49" s="113">
        <v>-0.10532583494658686</v>
      </c>
      <c r="J49" s="80">
        <v>0.27690854523096053</v>
      </c>
      <c r="L49">
        <v>2.1948622990787354E-3</v>
      </c>
    </row>
    <row r="51" spans="2:12" ht="15" thickBot="1" x14ac:dyDescent="0.35"/>
    <row r="52" spans="2:12" x14ac:dyDescent="0.3">
      <c r="B52" s="179" t="s">
        <v>72</v>
      </c>
      <c r="C52" s="180"/>
      <c r="D52" s="180"/>
      <c r="E52" s="181"/>
    </row>
    <row r="53" spans="2:12" x14ac:dyDescent="0.3">
      <c r="B53" s="74" t="s">
        <v>29</v>
      </c>
      <c r="C53" t="s">
        <v>73</v>
      </c>
      <c r="D53" t="s">
        <v>39</v>
      </c>
      <c r="E53" s="81" t="s">
        <v>38</v>
      </c>
    </row>
    <row r="54" spans="2:12" x14ac:dyDescent="0.3">
      <c r="B54" s="74">
        <v>0</v>
      </c>
      <c r="C54">
        <f>C23*(1-B54)+B54*B41</f>
        <v>7.8416666666666669E-3</v>
      </c>
      <c r="D54">
        <f>B54*D41+(1-B54)*0</f>
        <v>0</v>
      </c>
      <c r="E54" s="81">
        <f>D54*D54</f>
        <v>0</v>
      </c>
    </row>
    <row r="55" spans="2:12" x14ac:dyDescent="0.3">
      <c r="B55" s="74">
        <v>1</v>
      </c>
      <c r="C55">
        <f>(1-B55)*C23+B41*B55</f>
        <v>2.2299931022739874E-2</v>
      </c>
      <c r="D55">
        <f>B55*D41+(1-B55)*0</f>
        <v>7.7489568048271451E-2</v>
      </c>
      <c r="E55" s="81">
        <f>D55*D55</f>
        <v>6.0046331563076922E-3</v>
      </c>
    </row>
    <row r="56" spans="2:12" ht="15" thickBot="1" x14ac:dyDescent="0.35">
      <c r="B56" s="76">
        <v>2</v>
      </c>
      <c r="C56" s="79">
        <f>(B56*B41)+(1-B56)*C23</f>
        <v>3.6758195378813086E-2</v>
      </c>
      <c r="D56" s="79">
        <f>B56*D41+(1-B56)*0</f>
        <v>0.1549791360965429</v>
      </c>
      <c r="E56" s="82">
        <f>D56*D56</f>
        <v>2.4018532625230769E-2</v>
      </c>
    </row>
    <row r="69" spans="2:8" x14ac:dyDescent="0.3">
      <c r="B69" s="172" t="s">
        <v>138</v>
      </c>
      <c r="C69" s="173"/>
      <c r="D69" s="173"/>
      <c r="E69" s="173"/>
      <c r="F69" s="21"/>
      <c r="G69" s="21" t="s">
        <v>49</v>
      </c>
      <c r="H69" s="22">
        <v>3</v>
      </c>
    </row>
    <row r="70" spans="2:8" x14ac:dyDescent="0.3">
      <c r="B70" s="23"/>
      <c r="H70" s="24"/>
    </row>
    <row r="71" spans="2:8" x14ac:dyDescent="0.3">
      <c r="B71" s="23" t="s">
        <v>139</v>
      </c>
      <c r="C71" s="5">
        <f>(B41-C23)/(C41*H69)</f>
        <v>0.80261713356489406</v>
      </c>
      <c r="H71" s="24"/>
    </row>
    <row r="72" spans="2:8" x14ac:dyDescent="0.3">
      <c r="B72" s="23"/>
      <c r="H72" s="24"/>
    </row>
    <row r="73" spans="2:8" x14ac:dyDescent="0.3">
      <c r="B73" s="23" t="s">
        <v>73</v>
      </c>
      <c r="D73" t="s">
        <v>39</v>
      </c>
      <c r="H73" s="24"/>
    </row>
    <row r="74" spans="2:8" x14ac:dyDescent="0.3">
      <c r="B74" s="27">
        <f>C71*B41+(1-C71)*C23</f>
        <v>1.9446117360461625E-2</v>
      </c>
      <c r="C74" s="167"/>
      <c r="D74" s="28">
        <f>C71*D41</f>
        <v>6.2194454988085436E-2</v>
      </c>
      <c r="E74" s="167"/>
      <c r="F74" s="167"/>
      <c r="G74" s="167"/>
      <c r="H74" s="51"/>
    </row>
  </sheetData>
  <mergeCells count="3">
    <mergeCell ref="F27:J27"/>
    <mergeCell ref="B52:E52"/>
    <mergeCell ref="B69:E6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BE8E-1020-4B52-A98B-93824993D604}">
  <dimension ref="A1:R122"/>
  <sheetViews>
    <sheetView workbookViewId="0">
      <selection activeCell="I8" sqref="I8"/>
    </sheetView>
  </sheetViews>
  <sheetFormatPr defaultRowHeight="14.4" x14ac:dyDescent="0.3"/>
  <cols>
    <col min="1" max="1" width="21.44140625" customWidth="1"/>
    <col min="2" max="2" width="11.33203125" customWidth="1"/>
    <col min="3" max="3" width="11.88671875" customWidth="1"/>
    <col min="5" max="5" width="17.77734375" bestFit="1" customWidth="1"/>
    <col min="6" max="6" width="12.6640625" bestFit="1" customWidth="1"/>
    <col min="7" max="7" width="17.77734375" bestFit="1" customWidth="1"/>
    <col min="8" max="8" width="12.6640625" bestFit="1" customWidth="1"/>
    <col min="9" max="9" width="14.5546875" bestFit="1" customWidth="1"/>
    <col min="12" max="12" width="10.5546875" bestFit="1" customWidth="1"/>
    <col min="13" max="13" width="18.6640625" bestFit="1" customWidth="1"/>
    <col min="14" max="14" width="9.44140625" bestFit="1" customWidth="1"/>
    <col min="15" max="15" width="17.44140625" customWidth="1"/>
    <col min="16" max="16" width="12" bestFit="1" customWidth="1"/>
    <col min="17" max="17" width="17.44140625" bestFit="1" customWidth="1"/>
  </cols>
  <sheetData>
    <row r="1" spans="1:18" ht="15" thickBot="1" x14ac:dyDescent="0.35">
      <c r="L1" s="178" t="s">
        <v>63</v>
      </c>
      <c r="M1" s="178"/>
      <c r="N1" s="178"/>
    </row>
    <row r="2" spans="1:18" x14ac:dyDescent="0.3">
      <c r="A2" s="182" t="s">
        <v>76</v>
      </c>
      <c r="B2" s="183"/>
      <c r="C2" s="184"/>
      <c r="E2" s="135" t="s">
        <v>123</v>
      </c>
      <c r="F2" s="145" t="s">
        <v>75</v>
      </c>
      <c r="G2" s="140" t="s">
        <v>123</v>
      </c>
      <c r="H2" s="146" t="s">
        <v>124</v>
      </c>
      <c r="L2" s="2" t="s">
        <v>8</v>
      </c>
      <c r="M2" t="s">
        <v>9</v>
      </c>
      <c r="O2" s="137" t="s">
        <v>62</v>
      </c>
      <c r="P2" s="87" t="s">
        <v>113</v>
      </c>
      <c r="Q2" s="87" t="s">
        <v>140</v>
      </c>
      <c r="R2" s="138" t="s">
        <v>75</v>
      </c>
    </row>
    <row r="3" spans="1:18" x14ac:dyDescent="0.3">
      <c r="A3" s="131"/>
      <c r="B3" s="1" t="s">
        <v>77</v>
      </c>
      <c r="C3" s="136" t="s">
        <v>78</v>
      </c>
      <c r="E3" s="32"/>
      <c r="F3" s="89"/>
      <c r="G3" s="38"/>
      <c r="H3" s="108"/>
      <c r="L3" s="2">
        <v>41395</v>
      </c>
      <c r="M3" s="5">
        <v>2981760010</v>
      </c>
      <c r="N3" s="5">
        <f>(M4-M3)/M3</f>
        <v>-2.4200442610403109E-2</v>
      </c>
      <c r="O3" s="5">
        <f>AVERAGE(N3:N121)</f>
        <v>1.378884467263585E-2</v>
      </c>
      <c r="P3" s="5">
        <f>COVAR(N3:N121,N3:N121)</f>
        <v>2.7003721852300031E-3</v>
      </c>
      <c r="Q3" s="5">
        <f>SQRT(P3)</f>
        <v>5.1965105457701159E-2</v>
      </c>
      <c r="R3">
        <f>COVAR(N3:N121,N3:N121)/P3</f>
        <v>1</v>
      </c>
    </row>
    <row r="4" spans="1:18" x14ac:dyDescent="0.3">
      <c r="A4" s="131" t="s">
        <v>0</v>
      </c>
      <c r="B4" s="5" cm="1">
        <f t="array" ref="B4:C4">LINEST('A1'!C3:C121,'B8'!N3:N121)</f>
        <v>1.2228627208664702</v>
      </c>
      <c r="C4" s="133">
        <v>7.4048229649103098E-3</v>
      </c>
      <c r="E4" s="32" t="s">
        <v>0</v>
      </c>
      <c r="F4" s="147">
        <v>2.6649318875667652E-26</v>
      </c>
      <c r="G4" s="38" t="s">
        <v>0</v>
      </c>
      <c r="H4" s="108">
        <v>0.12284302069313868</v>
      </c>
      <c r="L4" s="2">
        <v>41426</v>
      </c>
      <c r="M4" s="5">
        <v>2909600098</v>
      </c>
      <c r="N4" s="5">
        <f t="shared" ref="N4:N67" si="0">(M5-M4)/M4</f>
        <v>6.2066894733793072E-2</v>
      </c>
    </row>
    <row r="5" spans="1:18" x14ac:dyDescent="0.3">
      <c r="A5" s="131" t="s">
        <v>17</v>
      </c>
      <c r="B5" s="5" cm="1">
        <f t="array" ref="B5:C5">LINEST('A1'!H3:H121,'B8'!N3:N121)</f>
        <v>0.80428406460493895</v>
      </c>
      <c r="C5" s="133">
        <v>7.4292567510607331E-3</v>
      </c>
      <c r="E5" s="32" t="s">
        <v>17</v>
      </c>
      <c r="F5" s="147">
        <v>7.8104044421876125E-8</v>
      </c>
      <c r="G5" s="38" t="s">
        <v>17</v>
      </c>
      <c r="H5" s="108">
        <v>0.32659571241125862</v>
      </c>
      <c r="L5" s="2">
        <v>41456</v>
      </c>
      <c r="M5" s="5">
        <v>3090189941</v>
      </c>
      <c r="N5" s="5">
        <f t="shared" si="0"/>
        <v>-5.3006068600104867E-3</v>
      </c>
    </row>
    <row r="6" spans="1:18" x14ac:dyDescent="0.3">
      <c r="A6" s="131" t="s">
        <v>16</v>
      </c>
      <c r="B6" s="5" cm="1">
        <f t="array" ref="B6:C6">LINEST('A1'!M3:M121,'B8'!N3:N121)</f>
        <v>0.91997865006732682</v>
      </c>
      <c r="C6" s="133">
        <v>-1.9851673630197145E-3</v>
      </c>
      <c r="E6" s="32" t="s">
        <v>16</v>
      </c>
      <c r="F6" s="147">
        <v>2.6125914616458065E-13</v>
      </c>
      <c r="G6" s="38" t="s">
        <v>16</v>
      </c>
      <c r="H6" s="108">
        <v>0.74099109342902669</v>
      </c>
      <c r="L6" s="2">
        <v>41487</v>
      </c>
      <c r="M6" s="5">
        <v>3073810059</v>
      </c>
      <c r="N6" s="5">
        <f t="shared" si="0"/>
        <v>4.697424018677792E-2</v>
      </c>
    </row>
    <row r="7" spans="1:18" x14ac:dyDescent="0.3">
      <c r="A7" s="131" t="s">
        <v>1</v>
      </c>
      <c r="B7" s="5" cm="1">
        <f t="array" ref="B7:C7">LINEST('A1'!R3:R121,'B8'!N3:N121)</f>
        <v>0.66978689871845321</v>
      </c>
      <c r="C7" s="133">
        <v>3.3402067566636415E-3</v>
      </c>
      <c r="E7" s="32" t="s">
        <v>1</v>
      </c>
      <c r="F7" s="147">
        <v>5.9263648768946453E-9</v>
      </c>
      <c r="G7" s="38" t="s">
        <v>1</v>
      </c>
      <c r="H7" s="108">
        <v>0.56125228160100682</v>
      </c>
      <c r="L7" s="2">
        <v>41518</v>
      </c>
      <c r="M7" s="5">
        <v>3218199951</v>
      </c>
      <c r="N7" s="5">
        <f t="shared" si="0"/>
        <v>4.9571198629354524E-2</v>
      </c>
    </row>
    <row r="8" spans="1:18" x14ac:dyDescent="0.3">
      <c r="A8" s="131" t="s">
        <v>2</v>
      </c>
      <c r="B8" s="5" cm="1">
        <f t="array" ref="B8:C8">LINEST('A1'!W3:W121,'B8'!N3:N121)</f>
        <v>0.8870589465115617</v>
      </c>
      <c r="C8" s="133">
        <v>9.0269924277659608E-3</v>
      </c>
      <c r="E8" s="32" t="s">
        <v>2</v>
      </c>
      <c r="F8" s="147">
        <v>3.3519236746505323E-23</v>
      </c>
      <c r="G8" s="38" t="s">
        <v>2</v>
      </c>
      <c r="H8" s="149">
        <v>1.9994675406129647E-2</v>
      </c>
      <c r="L8" s="2">
        <v>41548</v>
      </c>
      <c r="M8" s="5">
        <v>3377729980</v>
      </c>
      <c r="N8" s="5">
        <f t="shared" si="0"/>
        <v>3.2592921474439471E-2</v>
      </c>
    </row>
    <row r="9" spans="1:18" x14ac:dyDescent="0.3">
      <c r="A9" s="131" t="s">
        <v>4</v>
      </c>
      <c r="B9" s="5" cm="1">
        <f t="array" ref="B9:C9">LINEST('A1'!AG3:AG121,'B8'!N3:N121)</f>
        <v>0.42439537420400636</v>
      </c>
      <c r="C9" s="133">
        <v>2.9815583843802009E-3</v>
      </c>
      <c r="E9" s="32" t="s">
        <v>4</v>
      </c>
      <c r="F9" s="147">
        <v>6.9768672812468364E-5</v>
      </c>
      <c r="G9" s="38" t="s">
        <v>4</v>
      </c>
      <c r="H9" s="108">
        <v>0.59092384869063608</v>
      </c>
      <c r="L9" s="2">
        <v>41579</v>
      </c>
      <c r="M9" s="5">
        <v>3487820068</v>
      </c>
      <c r="N9" s="5">
        <f t="shared" si="0"/>
        <v>2.9869640626197579E-2</v>
      </c>
    </row>
    <row r="10" spans="1:18" x14ac:dyDescent="0.3">
      <c r="A10" s="131" t="s">
        <v>13</v>
      </c>
      <c r="B10" s="5" cm="1">
        <f t="array" ref="B10:C10">LINEST('A1'!AB3:AB121,'B8'!N3:N121)</f>
        <v>0.31026490115733629</v>
      </c>
      <c r="C10" s="133">
        <v>1.0039481300423453E-2</v>
      </c>
      <c r="E10" s="32" t="s">
        <v>13</v>
      </c>
      <c r="F10" s="147">
        <v>9.2424660845063394E-4</v>
      </c>
      <c r="G10" s="38" t="s">
        <v>13</v>
      </c>
      <c r="H10" s="149">
        <v>4.3004654421860536E-2</v>
      </c>
      <c r="L10" s="2">
        <v>41609</v>
      </c>
      <c r="M10" s="5">
        <v>3592000000</v>
      </c>
      <c r="N10" s="5">
        <f t="shared" si="0"/>
        <v>-1.9510043986636971E-2</v>
      </c>
    </row>
    <row r="11" spans="1:18" x14ac:dyDescent="0.3">
      <c r="A11" s="131" t="s">
        <v>5</v>
      </c>
      <c r="B11" s="5" cm="1">
        <f t="array" ref="B11:C11">LINEST('A1'!AL3:AL121,'B8'!N3:N121)</f>
        <v>0.47289639667923689</v>
      </c>
      <c r="C11" s="133">
        <v>-8.0516299358859098E-3</v>
      </c>
      <c r="E11" s="32" t="s">
        <v>5</v>
      </c>
      <c r="F11" s="147">
        <v>1.1495939037251955E-2</v>
      </c>
      <c r="G11" s="38" t="s">
        <v>5</v>
      </c>
      <c r="H11" s="108">
        <v>0.41777106184364932</v>
      </c>
      <c r="L11" s="2">
        <v>41640</v>
      </c>
      <c r="M11" s="5">
        <v>3521919922</v>
      </c>
      <c r="N11" s="5">
        <f t="shared" si="0"/>
        <v>4.9456029625196005E-2</v>
      </c>
    </row>
    <row r="12" spans="1:18" x14ac:dyDescent="0.3">
      <c r="A12" s="131" t="s">
        <v>6</v>
      </c>
      <c r="B12" s="5" cm="1">
        <f t="array" ref="B12:C12">LINEST('A1'!AQ3:AQ121,'B8'!N3:N121)</f>
        <v>0.25619993513558403</v>
      </c>
      <c r="C12" s="133">
        <v>9.5763016395367887E-3</v>
      </c>
      <c r="E12" s="32" t="s">
        <v>6</v>
      </c>
      <c r="F12" s="89">
        <v>0.13624978467425886</v>
      </c>
      <c r="G12" s="38" t="s">
        <v>6</v>
      </c>
      <c r="H12" s="108">
        <v>0.29909400592787044</v>
      </c>
      <c r="L12" s="2">
        <v>41671</v>
      </c>
      <c r="M12" s="5">
        <v>3696100098</v>
      </c>
      <c r="N12" s="5">
        <f t="shared" si="0"/>
        <v>-2.7152973496119854E-2</v>
      </c>
    </row>
    <row r="13" spans="1:18" ht="15" thickBot="1" x14ac:dyDescent="0.35">
      <c r="A13" s="132" t="s">
        <v>7</v>
      </c>
      <c r="B13" s="139" cm="1">
        <f t="array" ref="B13:C13">LINEST('A1'!AV3:AV121,'B8'!N3:N121)</f>
        <v>1.2726293569728646</v>
      </c>
      <c r="C13" s="134">
        <v>4.073081417635082E-3</v>
      </c>
      <c r="E13" s="34" t="s">
        <v>7</v>
      </c>
      <c r="F13" s="148">
        <v>1.6205457152510109E-7</v>
      </c>
      <c r="G13" s="40" t="s">
        <v>7</v>
      </c>
      <c r="H13" s="109">
        <v>0.74061611355204904</v>
      </c>
      <c r="L13" s="2">
        <v>41699</v>
      </c>
      <c r="M13" s="5">
        <v>3595739990</v>
      </c>
      <c r="N13" s="5">
        <f t="shared" si="0"/>
        <v>-3.8156179362679671E-3</v>
      </c>
    </row>
    <row r="14" spans="1:18" x14ac:dyDescent="0.3">
      <c r="L14" s="2">
        <v>41730</v>
      </c>
      <c r="M14" s="5">
        <v>3582020020</v>
      </c>
      <c r="N14" s="5">
        <f t="shared" si="0"/>
        <v>4.3215852266509668E-2</v>
      </c>
    </row>
    <row r="15" spans="1:18" x14ac:dyDescent="0.3">
      <c r="A15" s="14"/>
      <c r="E15" s="135" t="s">
        <v>125</v>
      </c>
      <c r="F15" s="150" t="s">
        <v>75</v>
      </c>
      <c r="G15" s="140" t="s">
        <v>126</v>
      </c>
      <c r="H15" s="146" t="s">
        <v>124</v>
      </c>
      <c r="L15" s="2">
        <v>41760</v>
      </c>
      <c r="M15" s="5">
        <v>3736820068</v>
      </c>
      <c r="N15" s="5">
        <f t="shared" si="0"/>
        <v>3.014860495017016E-2</v>
      </c>
    </row>
    <row r="16" spans="1:18" x14ac:dyDescent="0.3">
      <c r="E16" s="32"/>
      <c r="G16" s="38"/>
      <c r="H16" s="108"/>
      <c r="L16" s="2">
        <v>41791</v>
      </c>
      <c r="M16" s="5">
        <v>3849479980</v>
      </c>
      <c r="N16" s="5">
        <f t="shared" si="0"/>
        <v>1.1175540650558209E-2</v>
      </c>
    </row>
    <row r="17" spans="2:14" x14ac:dyDescent="0.3">
      <c r="B17" s="5"/>
      <c r="E17" s="32" t="s">
        <v>0</v>
      </c>
      <c r="F17" s="151">
        <v>13.799088705980413</v>
      </c>
      <c r="G17" s="38" t="s">
        <v>0</v>
      </c>
      <c r="H17" s="108">
        <v>1.5541773002722801</v>
      </c>
      <c r="L17" s="2">
        <v>41821</v>
      </c>
      <c r="M17" s="5">
        <v>3892500000</v>
      </c>
      <c r="N17" s="5">
        <f t="shared" si="0"/>
        <v>4.8827247013487479E-2</v>
      </c>
    </row>
    <row r="18" spans="2:14" x14ac:dyDescent="0.3">
      <c r="B18" s="5"/>
      <c r="E18" s="32" t="s">
        <v>17</v>
      </c>
      <c r="F18" s="151">
        <v>5.7337936914771204</v>
      </c>
      <c r="G18" s="38" t="s">
        <v>17</v>
      </c>
      <c r="H18" s="108">
        <v>0.98512456084221622</v>
      </c>
      <c r="L18" s="2">
        <v>41852</v>
      </c>
      <c r="M18" s="5">
        <v>4082560059</v>
      </c>
      <c r="N18" s="5">
        <f t="shared" si="0"/>
        <v>-8.1101337203867453E-3</v>
      </c>
    </row>
    <row r="19" spans="2:14" x14ac:dyDescent="0.3">
      <c r="B19" s="5"/>
      <c r="E19" s="32" t="s">
        <v>16</v>
      </c>
      <c r="F19" s="151">
        <v>8.2551072786092803</v>
      </c>
      <c r="G19" s="38" t="s">
        <v>16</v>
      </c>
      <c r="H19" s="108">
        <v>-0.33132581900662744</v>
      </c>
      <c r="L19" s="2">
        <v>41883</v>
      </c>
      <c r="M19" s="5">
        <v>4049449951</v>
      </c>
      <c r="N19" s="5">
        <f t="shared" si="0"/>
        <v>2.6857971160537997E-2</v>
      </c>
    </row>
    <row r="20" spans="2:14" x14ac:dyDescent="0.3">
      <c r="B20" s="5"/>
      <c r="E20" s="32" t="s">
        <v>1</v>
      </c>
      <c r="F20" s="151">
        <v>6.2813865796693884</v>
      </c>
      <c r="G20" s="38" t="s">
        <v>1</v>
      </c>
      <c r="H20" s="108">
        <v>0.58264685299442442</v>
      </c>
      <c r="L20" s="2">
        <v>41913</v>
      </c>
      <c r="M20" s="5">
        <v>4158209961</v>
      </c>
      <c r="N20" s="5">
        <f t="shared" si="0"/>
        <v>4.3186871198012601E-2</v>
      </c>
    </row>
    <row r="21" spans="2:14" x14ac:dyDescent="0.3">
      <c r="B21" s="5"/>
      <c r="E21" s="32" t="s">
        <v>2</v>
      </c>
      <c r="F21" s="151">
        <v>12.461703159311265</v>
      </c>
      <c r="G21" s="38" t="s">
        <v>2</v>
      </c>
      <c r="H21" s="149">
        <v>2.3587460219466498</v>
      </c>
      <c r="L21" s="2">
        <v>41944</v>
      </c>
      <c r="M21" s="5">
        <v>4337790039</v>
      </c>
      <c r="N21" s="5">
        <f t="shared" si="0"/>
        <v>-2.3401375605399604E-2</v>
      </c>
    </row>
    <row r="22" spans="2:14" x14ac:dyDescent="0.3">
      <c r="B22" s="5"/>
      <c r="D22" s="89"/>
      <c r="E22" s="32" t="s">
        <v>4</v>
      </c>
      <c r="F22" s="151">
        <v>4.124657176566271</v>
      </c>
      <c r="G22" s="38" t="s">
        <v>4</v>
      </c>
      <c r="H22" s="108">
        <v>0.53898132177787117</v>
      </c>
      <c r="L22" s="2">
        <v>41974</v>
      </c>
      <c r="M22" s="5">
        <v>4236279785</v>
      </c>
      <c r="N22" s="5">
        <f t="shared" si="0"/>
        <v>-2.0737442628568029E-2</v>
      </c>
    </row>
    <row r="23" spans="2:14" x14ac:dyDescent="0.3">
      <c r="B23" s="5"/>
      <c r="D23" s="89"/>
      <c r="E23" s="32" t="s">
        <v>13</v>
      </c>
      <c r="F23" s="151">
        <v>3.3993798191081872</v>
      </c>
      <c r="G23" s="38" t="s">
        <v>13</v>
      </c>
      <c r="H23" s="149">
        <v>2.0459334327933405</v>
      </c>
      <c r="L23" s="2">
        <v>42005</v>
      </c>
      <c r="M23" s="5">
        <v>4148430176</v>
      </c>
      <c r="N23" s="5">
        <f t="shared" si="0"/>
        <v>7.0445863519820268E-2</v>
      </c>
    </row>
    <row r="24" spans="2:14" x14ac:dyDescent="0.3">
      <c r="B24" s="5"/>
      <c r="E24" s="32" t="s">
        <v>5</v>
      </c>
      <c r="F24" s="151">
        <v>2.5677427255360921</v>
      </c>
      <c r="G24" s="38" t="s">
        <v>5</v>
      </c>
      <c r="H24" s="108">
        <v>-0.81317213733038862</v>
      </c>
      <c r="L24" s="2">
        <v>42036</v>
      </c>
      <c r="M24" s="5">
        <v>4440669922</v>
      </c>
      <c r="N24" s="5">
        <f t="shared" si="0"/>
        <v>-2.4090955391662637E-2</v>
      </c>
    </row>
    <row r="25" spans="2:14" x14ac:dyDescent="0.3">
      <c r="B25" s="5"/>
      <c r="E25" s="32" t="s">
        <v>6</v>
      </c>
      <c r="F25">
        <v>1.500225241538649</v>
      </c>
      <c r="G25" s="38" t="s">
        <v>6</v>
      </c>
      <c r="H25" s="108">
        <v>1.0430099487486695</v>
      </c>
      <c r="L25" s="2">
        <v>42064</v>
      </c>
      <c r="M25" s="5">
        <v>4333689941</v>
      </c>
      <c r="N25" s="5">
        <f t="shared" si="0"/>
        <v>1.8589253060732523E-2</v>
      </c>
    </row>
    <row r="26" spans="2:14" x14ac:dyDescent="0.3">
      <c r="B26" s="5"/>
      <c r="E26" s="34" t="s">
        <v>7</v>
      </c>
      <c r="F26" s="152">
        <v>5.5740771005213769</v>
      </c>
      <c r="G26" s="40" t="s">
        <v>7</v>
      </c>
      <c r="H26" s="109">
        <v>0.33182362735215593</v>
      </c>
      <c r="L26" s="2">
        <v>42095</v>
      </c>
      <c r="M26" s="5">
        <v>4414250000</v>
      </c>
      <c r="N26" s="5">
        <f t="shared" si="0"/>
        <v>2.1294670668856545E-2</v>
      </c>
    </row>
    <row r="27" spans="2:14" x14ac:dyDescent="0.3">
      <c r="L27" s="2">
        <v>42125</v>
      </c>
      <c r="M27" s="5">
        <v>4508250000</v>
      </c>
      <c r="N27" s="5">
        <f t="shared" si="0"/>
        <v>-2.4730268729551377E-2</v>
      </c>
    </row>
    <row r="28" spans="2:14" x14ac:dyDescent="0.3">
      <c r="E28" s="14"/>
      <c r="F28" s="14"/>
      <c r="L28" s="2">
        <v>42156</v>
      </c>
      <c r="M28" s="5">
        <v>4396759766</v>
      </c>
      <c r="N28" s="5">
        <f t="shared" si="0"/>
        <v>4.3702726604690274E-2</v>
      </c>
    </row>
    <row r="29" spans="2:14" x14ac:dyDescent="0.3">
      <c r="L29" s="2">
        <v>42186</v>
      </c>
      <c r="M29" s="5">
        <v>4588910156</v>
      </c>
      <c r="N29" s="5">
        <f t="shared" si="0"/>
        <v>-6.849776250010331E-2</v>
      </c>
    </row>
    <row r="30" spans="2:14" x14ac:dyDescent="0.3">
      <c r="L30" s="2">
        <v>42217</v>
      </c>
      <c r="M30" s="5">
        <v>4274580078</v>
      </c>
      <c r="N30" s="5">
        <f t="shared" si="0"/>
        <v>-2.1878176871997296E-2</v>
      </c>
    </row>
    <row r="31" spans="2:14" x14ac:dyDescent="0.3">
      <c r="L31" s="2">
        <v>42248</v>
      </c>
      <c r="M31" s="5">
        <v>4181060059</v>
      </c>
      <c r="N31" s="5">
        <f t="shared" si="0"/>
        <v>0.11187833047102373</v>
      </c>
    </row>
    <row r="32" spans="2:14" x14ac:dyDescent="0.3">
      <c r="L32" s="2">
        <v>42278</v>
      </c>
      <c r="M32" s="5">
        <v>4648830078</v>
      </c>
      <c r="N32" s="5">
        <f t="shared" si="0"/>
        <v>3.3728245035674976E-3</v>
      </c>
    </row>
    <row r="33" spans="5:14" x14ac:dyDescent="0.3">
      <c r="L33" s="2">
        <v>42309</v>
      </c>
      <c r="M33" s="5">
        <v>4664509766</v>
      </c>
      <c r="N33" s="5">
        <f t="shared" si="0"/>
        <v>-1.5272718800863585E-2</v>
      </c>
    </row>
    <row r="34" spans="5:14" x14ac:dyDescent="0.3">
      <c r="L34" s="2">
        <v>42339</v>
      </c>
      <c r="M34" s="5">
        <v>4593270020</v>
      </c>
      <c r="N34" s="5">
        <f t="shared" si="0"/>
        <v>-6.8382676531609607E-2</v>
      </c>
    </row>
    <row r="35" spans="5:14" x14ac:dyDescent="0.3">
      <c r="L35" s="2">
        <v>42370</v>
      </c>
      <c r="M35" s="5">
        <v>4279169922</v>
      </c>
      <c r="N35" s="5">
        <f t="shared" si="0"/>
        <v>-1.8239473174162024E-2</v>
      </c>
    </row>
    <row r="36" spans="5:14" x14ac:dyDescent="0.3">
      <c r="L36" s="2">
        <v>42401</v>
      </c>
      <c r="M36" s="5">
        <v>4201120117</v>
      </c>
      <c r="N36" s="5">
        <f t="shared" si="0"/>
        <v>6.7253501716528039E-2</v>
      </c>
    </row>
    <row r="37" spans="5:14" x14ac:dyDescent="0.3">
      <c r="L37" s="2">
        <v>42430</v>
      </c>
      <c r="M37" s="5">
        <v>4483660156</v>
      </c>
      <c r="N37" s="5">
        <f t="shared" si="0"/>
        <v>-3.1750923586279046E-2</v>
      </c>
    </row>
    <row r="38" spans="5:14" x14ac:dyDescent="0.3">
      <c r="L38" s="2">
        <v>42461</v>
      </c>
      <c r="M38" s="5">
        <v>4341299805</v>
      </c>
      <c r="N38" s="5">
        <f t="shared" si="0"/>
        <v>4.2058908668253105E-2</v>
      </c>
    </row>
    <row r="39" spans="5:14" x14ac:dyDescent="0.3">
      <c r="L39" s="2">
        <v>42491</v>
      </c>
      <c r="M39" s="5">
        <v>4523890137</v>
      </c>
      <c r="N39" s="5">
        <f t="shared" si="0"/>
        <v>-2.3473147840504246E-2</v>
      </c>
    </row>
    <row r="40" spans="5:14" x14ac:dyDescent="0.3">
      <c r="L40" s="2">
        <v>42522</v>
      </c>
      <c r="M40" s="5">
        <v>4417700195</v>
      </c>
      <c r="N40" s="5">
        <f t="shared" si="0"/>
        <v>7.0744905992879401E-2</v>
      </c>
    </row>
    <row r="41" spans="5:14" x14ac:dyDescent="0.3">
      <c r="E41" s="14"/>
      <c r="F41" s="14"/>
      <c r="L41" s="2">
        <v>42552</v>
      </c>
      <c r="M41" s="5">
        <v>4730229980</v>
      </c>
      <c r="N41" s="5">
        <f t="shared" si="0"/>
        <v>8.6295645608334675E-3</v>
      </c>
    </row>
    <row r="42" spans="5:14" x14ac:dyDescent="0.3">
      <c r="L42" s="2">
        <v>42583</v>
      </c>
      <c r="M42" s="5">
        <v>4771049805</v>
      </c>
      <c r="N42" s="5">
        <f t="shared" si="0"/>
        <v>2.1934457672256474E-2</v>
      </c>
    </row>
    <row r="43" spans="5:14" x14ac:dyDescent="0.3">
      <c r="L43" s="2">
        <v>42614</v>
      </c>
      <c r="M43" s="5">
        <v>4875700195</v>
      </c>
      <c r="N43" s="5">
        <f t="shared" si="0"/>
        <v>-1.5265535620161322E-2</v>
      </c>
    </row>
    <row r="44" spans="5:14" x14ac:dyDescent="0.3">
      <c r="L44" s="2">
        <v>42644</v>
      </c>
      <c r="M44" s="5">
        <v>4801270020</v>
      </c>
      <c r="N44" s="5">
        <f t="shared" si="0"/>
        <v>1.9869823942957492E-3</v>
      </c>
    </row>
    <row r="45" spans="5:14" x14ac:dyDescent="0.3">
      <c r="L45" s="2">
        <v>42675</v>
      </c>
      <c r="M45" s="5">
        <v>4810810059</v>
      </c>
      <c r="N45" s="5">
        <f t="shared" si="0"/>
        <v>1.0977373322233672E-2</v>
      </c>
    </row>
    <row r="46" spans="5:14" x14ac:dyDescent="0.3">
      <c r="L46" s="2">
        <v>42705</v>
      </c>
      <c r="M46" s="5">
        <v>4863620117</v>
      </c>
      <c r="N46" s="5">
        <f t="shared" si="0"/>
        <v>5.2049686634685004E-2</v>
      </c>
    </row>
    <row r="47" spans="5:14" x14ac:dyDescent="0.3">
      <c r="L47" s="2">
        <v>42736</v>
      </c>
      <c r="M47" s="5">
        <v>5116770020</v>
      </c>
      <c r="N47" s="5">
        <f t="shared" si="0"/>
        <v>4.1733366589729981E-2</v>
      </c>
    </row>
    <row r="48" spans="5:14" x14ac:dyDescent="0.3">
      <c r="L48" s="2">
        <v>42767</v>
      </c>
      <c r="M48" s="5">
        <v>5330310059</v>
      </c>
      <c r="N48" s="5">
        <f t="shared" si="0"/>
        <v>1.9871249482224539E-2</v>
      </c>
    </row>
    <row r="49" spans="12:14" x14ac:dyDescent="0.3">
      <c r="L49" s="2">
        <v>42795</v>
      </c>
      <c r="M49" s="5">
        <v>5436229980</v>
      </c>
      <c r="N49" s="5">
        <f t="shared" si="0"/>
        <v>2.7095948026834581E-2</v>
      </c>
    </row>
    <row r="50" spans="12:14" x14ac:dyDescent="0.3">
      <c r="L50" s="2">
        <v>42826</v>
      </c>
      <c r="M50" s="5">
        <v>5583529785</v>
      </c>
      <c r="N50" s="5">
        <f t="shared" si="0"/>
        <v>3.6763486164514123E-2</v>
      </c>
    </row>
    <row r="51" spans="12:14" x14ac:dyDescent="0.3">
      <c r="L51" s="2">
        <v>42856</v>
      </c>
      <c r="M51" s="5">
        <v>5788799805</v>
      </c>
      <c r="N51" s="5">
        <f t="shared" si="0"/>
        <v>-2.4509378071332352E-2</v>
      </c>
    </row>
    <row r="52" spans="12:14" x14ac:dyDescent="0.3">
      <c r="L52" s="2">
        <v>42887</v>
      </c>
      <c r="M52" s="5">
        <v>5646919922</v>
      </c>
      <c r="N52" s="5">
        <f t="shared" si="0"/>
        <v>4.1334065158361917E-2</v>
      </c>
    </row>
    <row r="53" spans="12:14" x14ac:dyDescent="0.3">
      <c r="L53" s="2">
        <v>42917</v>
      </c>
      <c r="M53" s="5">
        <v>5880330078</v>
      </c>
      <c r="N53" s="5">
        <f t="shared" si="0"/>
        <v>1.8412235123512737E-2</v>
      </c>
    </row>
    <row r="54" spans="12:14" x14ac:dyDescent="0.3">
      <c r="L54" s="2">
        <v>42948</v>
      </c>
      <c r="M54" s="5">
        <v>5988600098</v>
      </c>
      <c r="N54" s="5">
        <f t="shared" si="0"/>
        <v>-1.5529995070310337E-3</v>
      </c>
    </row>
    <row r="55" spans="12:14" x14ac:dyDescent="0.3">
      <c r="L55" s="2">
        <v>42979</v>
      </c>
      <c r="M55" s="5">
        <v>5979299805</v>
      </c>
      <c r="N55" s="5">
        <f t="shared" si="0"/>
        <v>4.5032071108867908E-2</v>
      </c>
    </row>
    <row r="56" spans="12:14" x14ac:dyDescent="0.3">
      <c r="L56" s="2">
        <v>43009</v>
      </c>
      <c r="M56" s="5">
        <v>6248560059</v>
      </c>
      <c r="N56" s="5">
        <f t="shared" si="0"/>
        <v>1.8724313905166226E-2</v>
      </c>
    </row>
    <row r="57" spans="12:14" x14ac:dyDescent="0.3">
      <c r="L57" s="2">
        <v>43040</v>
      </c>
      <c r="M57" s="5">
        <v>6365560059</v>
      </c>
      <c r="N57" s="5">
        <f t="shared" si="0"/>
        <v>4.8479415344402452E-3</v>
      </c>
    </row>
    <row r="58" spans="12:14" x14ac:dyDescent="0.3">
      <c r="L58" s="2">
        <v>43070</v>
      </c>
      <c r="M58" s="5">
        <v>6396419922</v>
      </c>
      <c r="N58" s="5">
        <f t="shared" si="0"/>
        <v>8.6543772727621746E-2</v>
      </c>
    </row>
    <row r="59" spans="12:14" x14ac:dyDescent="0.3">
      <c r="L59" s="2">
        <v>43101</v>
      </c>
      <c r="M59" s="5">
        <v>6949990234</v>
      </c>
      <c r="N59" s="5">
        <f t="shared" si="0"/>
        <v>-1.3751143351606614E-2</v>
      </c>
    </row>
    <row r="60" spans="12:14" x14ac:dyDescent="0.3">
      <c r="L60" s="2">
        <v>43132</v>
      </c>
      <c r="M60" s="5">
        <v>6854419922</v>
      </c>
      <c r="N60" s="5">
        <f t="shared" si="0"/>
        <v>-3.9870629770266355E-2</v>
      </c>
    </row>
    <row r="61" spans="12:14" x14ac:dyDescent="0.3">
      <c r="L61" s="2">
        <v>43160</v>
      </c>
      <c r="M61" s="5">
        <v>6581129883</v>
      </c>
      <c r="N61" s="5">
        <f t="shared" si="0"/>
        <v>3.7136390611484304E-3</v>
      </c>
    </row>
    <row r="62" spans="12:14" x14ac:dyDescent="0.3">
      <c r="L62" s="2">
        <v>43191</v>
      </c>
      <c r="M62" s="5">
        <v>6605569824</v>
      </c>
      <c r="N62" s="5">
        <f t="shared" si="0"/>
        <v>5.4826482143018822E-2</v>
      </c>
    </row>
    <row r="63" spans="12:14" x14ac:dyDescent="0.3">
      <c r="L63" s="2">
        <v>43221</v>
      </c>
      <c r="M63" s="5">
        <v>6967729980</v>
      </c>
      <c r="N63" s="5">
        <f t="shared" si="0"/>
        <v>1.0486891026164593E-2</v>
      </c>
    </row>
    <row r="64" spans="12:14" x14ac:dyDescent="0.3">
      <c r="L64" s="2">
        <v>43252</v>
      </c>
      <c r="M64" s="5">
        <v>7040799805</v>
      </c>
      <c r="N64" s="5">
        <f t="shared" si="0"/>
        <v>2.7153190020292019E-2</v>
      </c>
    </row>
    <row r="65" spans="12:14" x14ac:dyDescent="0.3">
      <c r="L65" s="2">
        <v>43282</v>
      </c>
      <c r="M65" s="5">
        <v>7231979980</v>
      </c>
      <c r="N65" s="5">
        <f t="shared" si="0"/>
        <v>5.8430723836157522E-2</v>
      </c>
    </row>
    <row r="66" spans="12:14" x14ac:dyDescent="0.3">
      <c r="L66" s="2">
        <v>43313</v>
      </c>
      <c r="M66" s="5">
        <v>7654549805</v>
      </c>
      <c r="N66" s="5">
        <f t="shared" si="0"/>
        <v>-3.5142371119499171E-3</v>
      </c>
    </row>
    <row r="67" spans="12:14" x14ac:dyDescent="0.3">
      <c r="L67" s="2">
        <v>43344</v>
      </c>
      <c r="M67" s="5">
        <v>7627649902</v>
      </c>
      <c r="N67" s="5">
        <f t="shared" si="0"/>
        <v>-8.6599386768761014E-2</v>
      </c>
    </row>
    <row r="68" spans="12:14" x14ac:dyDescent="0.3">
      <c r="L68" s="2">
        <v>43374</v>
      </c>
      <c r="M68" s="5">
        <v>6967100098</v>
      </c>
      <c r="N68" s="5">
        <f t="shared" ref="N68:N121" si="1">(M69-M68)/M68</f>
        <v>-2.5965368296047698E-3</v>
      </c>
    </row>
    <row r="69" spans="12:14" x14ac:dyDescent="0.3">
      <c r="L69" s="2">
        <v>43405</v>
      </c>
      <c r="M69" s="5">
        <v>6949009766</v>
      </c>
      <c r="N69" s="5">
        <f t="shared" si="1"/>
        <v>-8.9083131531750973E-2</v>
      </c>
    </row>
    <row r="70" spans="12:14" x14ac:dyDescent="0.3">
      <c r="L70" s="2">
        <v>43435</v>
      </c>
      <c r="M70" s="5">
        <v>6329970215</v>
      </c>
      <c r="N70" s="5">
        <f t="shared" si="1"/>
        <v>9.11330716269413E-2</v>
      </c>
    </row>
    <row r="71" spans="12:14" x14ac:dyDescent="0.3">
      <c r="L71" s="2">
        <v>43466</v>
      </c>
      <c r="M71" s="5">
        <v>6906839844</v>
      </c>
      <c r="N71" s="5">
        <f t="shared" si="1"/>
        <v>2.760885517935574E-2</v>
      </c>
    </row>
    <row r="72" spans="12:14" x14ac:dyDescent="0.3">
      <c r="L72" s="2">
        <v>43497</v>
      </c>
      <c r="M72" s="5">
        <v>7097529785</v>
      </c>
      <c r="N72" s="5">
        <f t="shared" si="1"/>
        <v>3.962508696960685E-2</v>
      </c>
    </row>
    <row r="73" spans="12:14" x14ac:dyDescent="0.3">
      <c r="L73" s="2">
        <v>43525</v>
      </c>
      <c r="M73" s="5">
        <v>7378770020</v>
      </c>
      <c r="N73" s="5">
        <f t="shared" si="1"/>
        <v>5.457412819596185E-2</v>
      </c>
    </row>
    <row r="74" spans="12:14" x14ac:dyDescent="0.3">
      <c r="L74" s="2">
        <v>43556</v>
      </c>
      <c r="M74" s="5">
        <v>7781459961</v>
      </c>
      <c r="N74" s="5">
        <f t="shared" si="1"/>
        <v>-8.3981669670638304E-2</v>
      </c>
    </row>
    <row r="75" spans="12:14" x14ac:dyDescent="0.3">
      <c r="L75" s="2">
        <v>43586</v>
      </c>
      <c r="M75" s="5">
        <v>7127959961</v>
      </c>
      <c r="N75" s="5">
        <f t="shared" si="1"/>
        <v>7.6195730611792648E-2</v>
      </c>
    </row>
    <row r="76" spans="12:14" x14ac:dyDescent="0.3">
      <c r="L76" s="2">
        <v>43617</v>
      </c>
      <c r="M76" s="5">
        <v>7671080078</v>
      </c>
      <c r="N76" s="5">
        <f t="shared" si="1"/>
        <v>2.3164887498649315E-2</v>
      </c>
    </row>
    <row r="77" spans="12:14" x14ac:dyDescent="0.3">
      <c r="L77" s="2">
        <v>43647</v>
      </c>
      <c r="M77" s="5">
        <v>7848779785</v>
      </c>
      <c r="N77" s="5">
        <f t="shared" si="1"/>
        <v>-2.0102460423407076E-2</v>
      </c>
    </row>
    <row r="78" spans="12:14" x14ac:dyDescent="0.3">
      <c r="L78" s="2">
        <v>43678</v>
      </c>
      <c r="M78" s="5">
        <v>7691000000</v>
      </c>
      <c r="N78" s="5">
        <f t="shared" si="1"/>
        <v>7.5998173189442209E-3</v>
      </c>
    </row>
    <row r="79" spans="12:14" x14ac:dyDescent="0.3">
      <c r="L79" s="2">
        <v>43709</v>
      </c>
      <c r="M79" s="5">
        <v>7749450195</v>
      </c>
      <c r="N79" s="5">
        <f t="shared" si="1"/>
        <v>4.3148852445783092E-2</v>
      </c>
    </row>
    <row r="80" spans="12:14" x14ac:dyDescent="0.3">
      <c r="L80" s="2">
        <v>43739</v>
      </c>
      <c r="M80" s="5">
        <v>8083830078</v>
      </c>
      <c r="N80" s="5">
        <f t="shared" si="1"/>
        <v>3.9566592433760456E-2</v>
      </c>
    </row>
    <row r="81" spans="12:14" x14ac:dyDescent="0.3">
      <c r="L81" s="2">
        <v>43770</v>
      </c>
      <c r="M81" s="5">
        <v>8403679688</v>
      </c>
      <c r="N81" s="5">
        <f t="shared" si="1"/>
        <v>3.9195999517967352E-2</v>
      </c>
    </row>
    <row r="82" spans="12:14" x14ac:dyDescent="0.3">
      <c r="L82" s="2">
        <v>43800</v>
      </c>
      <c r="M82" s="5">
        <v>8733070313</v>
      </c>
      <c r="N82" s="5">
        <f>(M83-M82)/M82</f>
        <v>2.9593195031910879E-2</v>
      </c>
    </row>
    <row r="83" spans="12:14" x14ac:dyDescent="0.3">
      <c r="L83" s="2">
        <v>43831</v>
      </c>
      <c r="M83" s="5">
        <v>8991509766</v>
      </c>
      <c r="N83" s="5">
        <f t="shared" si="1"/>
        <v>-5.8908870899846165E-2</v>
      </c>
    </row>
    <row r="84" spans="12:14" x14ac:dyDescent="0.3">
      <c r="L84" s="2">
        <v>43862</v>
      </c>
      <c r="M84" s="5">
        <v>8461830078</v>
      </c>
      <c r="N84" s="5">
        <f t="shared" si="1"/>
        <v>-7.6618186848918191E-2</v>
      </c>
    </row>
    <row r="85" spans="12:14" x14ac:dyDescent="0.3">
      <c r="L85" s="2">
        <v>43891</v>
      </c>
      <c r="M85" s="5">
        <v>7813500000</v>
      </c>
      <c r="N85" s="5">
        <f t="shared" si="1"/>
        <v>0.15191780456901516</v>
      </c>
    </row>
    <row r="86" spans="12:14" x14ac:dyDescent="0.3">
      <c r="L86" s="2">
        <v>43922</v>
      </c>
      <c r="M86" s="5">
        <v>9000509766</v>
      </c>
      <c r="N86" s="5">
        <f t="shared" si="1"/>
        <v>6.1665452449885159E-2</v>
      </c>
    </row>
    <row r="87" spans="12:14" x14ac:dyDescent="0.3">
      <c r="L87" s="2">
        <v>43952</v>
      </c>
      <c r="M87" s="5">
        <v>9555530273</v>
      </c>
      <c r="N87" s="5">
        <f t="shared" si="1"/>
        <v>6.2928934221377672E-2</v>
      </c>
    </row>
    <row r="88" spans="12:14" x14ac:dyDescent="0.3">
      <c r="L88" s="2">
        <v>43983</v>
      </c>
      <c r="M88" s="5">
        <v>10156849609</v>
      </c>
      <c r="N88" s="5">
        <f t="shared" si="1"/>
        <v>7.3746319265797056E-2</v>
      </c>
    </row>
    <row r="89" spans="12:14" x14ac:dyDescent="0.3">
      <c r="L89" s="2">
        <v>44013</v>
      </c>
      <c r="M89" s="5">
        <v>10905879883</v>
      </c>
      <c r="N89" s="5">
        <f t="shared" si="1"/>
        <v>0.11047437941051087</v>
      </c>
    </row>
    <row r="90" spans="12:14" x14ac:dyDescent="0.3">
      <c r="L90" s="2">
        <v>44044</v>
      </c>
      <c r="M90" s="5">
        <v>12110700195</v>
      </c>
      <c r="N90" s="5">
        <f t="shared" si="1"/>
        <v>-5.7192450795368728E-2</v>
      </c>
    </row>
    <row r="91" spans="12:14" x14ac:dyDescent="0.3">
      <c r="L91" s="2">
        <v>44075</v>
      </c>
      <c r="M91" s="5">
        <v>11418059570</v>
      </c>
      <c r="N91" s="5">
        <f t="shared" si="1"/>
        <v>-3.1976481884828704E-2</v>
      </c>
    </row>
    <row r="92" spans="12:14" x14ac:dyDescent="0.3">
      <c r="L92" s="2">
        <v>44105</v>
      </c>
      <c r="M92" s="5">
        <v>11052950195</v>
      </c>
      <c r="N92" s="5">
        <f t="shared" si="1"/>
        <v>0.10995888849203306</v>
      </c>
    </row>
    <row r="93" spans="12:14" x14ac:dyDescent="0.3">
      <c r="L93" s="2">
        <v>44136</v>
      </c>
      <c r="M93" s="5">
        <v>12268320313</v>
      </c>
      <c r="N93" s="5">
        <f t="shared" si="1"/>
        <v>5.0533401817285925E-2</v>
      </c>
    </row>
    <row r="94" spans="12:14" x14ac:dyDescent="0.3">
      <c r="L94" s="2">
        <v>44166</v>
      </c>
      <c r="M94" s="5">
        <v>12888280273</v>
      </c>
      <c r="N94" s="5">
        <f t="shared" si="1"/>
        <v>2.8785539431293214E-3</v>
      </c>
    </row>
    <row r="95" spans="12:14" x14ac:dyDescent="0.3">
      <c r="L95" s="2">
        <v>44197</v>
      </c>
      <c r="M95" s="5">
        <v>12925379883</v>
      </c>
      <c r="N95" s="5">
        <f t="shared" si="1"/>
        <v>-1.2331902926090578E-3</v>
      </c>
    </row>
    <row r="96" spans="12:14" x14ac:dyDescent="0.3">
      <c r="L96" s="2">
        <v>44228</v>
      </c>
      <c r="M96" s="5">
        <v>12909440430</v>
      </c>
      <c r="N96" s="5">
        <f t="shared" si="1"/>
        <v>1.4098209832321911E-2</v>
      </c>
    </row>
    <row r="97" spans="12:14" x14ac:dyDescent="0.3">
      <c r="L97" s="2">
        <v>44256</v>
      </c>
      <c r="M97" s="5">
        <v>13091440430</v>
      </c>
      <c r="N97" s="5">
        <f t="shared" si="1"/>
        <v>5.876506409768692E-2</v>
      </c>
    </row>
    <row r="98" spans="12:14" x14ac:dyDescent="0.3">
      <c r="L98" s="2">
        <v>44287</v>
      </c>
      <c r="M98" s="5">
        <v>13860759766</v>
      </c>
      <c r="N98" s="5">
        <f t="shared" si="1"/>
        <v>-1.2571460940216977E-2</v>
      </c>
    </row>
    <row r="99" spans="12:14" x14ac:dyDescent="0.3">
      <c r="L99" s="2">
        <v>44317</v>
      </c>
      <c r="M99" s="5">
        <v>13686509766</v>
      </c>
      <c r="N99" s="5">
        <f t="shared" si="1"/>
        <v>6.3441304894035461E-2</v>
      </c>
    </row>
    <row r="100" spans="12:14" x14ac:dyDescent="0.3">
      <c r="L100" s="2">
        <v>44348</v>
      </c>
      <c r="M100" s="5">
        <v>14554799805</v>
      </c>
      <c r="N100" s="5">
        <f t="shared" si="1"/>
        <v>2.7832783097493111E-2</v>
      </c>
    </row>
    <row r="101" spans="12:14" x14ac:dyDescent="0.3">
      <c r="L101" s="2">
        <v>44378</v>
      </c>
      <c r="M101" s="5">
        <v>14959900391</v>
      </c>
      <c r="N101" s="5">
        <f t="shared" si="1"/>
        <v>4.1618550841058206E-2</v>
      </c>
    </row>
    <row r="102" spans="12:14" x14ac:dyDescent="0.3">
      <c r="L102" s="2">
        <v>44409</v>
      </c>
      <c r="M102" s="5">
        <v>15582509766</v>
      </c>
      <c r="N102" s="5">
        <f t="shared" si="1"/>
        <v>-5.7300759788274022E-2</v>
      </c>
    </row>
    <row r="103" spans="12:14" x14ac:dyDescent="0.3">
      <c r="L103" s="2">
        <v>44440</v>
      </c>
      <c r="M103" s="5">
        <v>14689620117</v>
      </c>
      <c r="N103" s="5">
        <f t="shared" si="1"/>
        <v>7.9025162036462218E-2</v>
      </c>
    </row>
    <row r="104" spans="12:14" x14ac:dyDescent="0.3">
      <c r="L104" s="2">
        <v>44470</v>
      </c>
      <c r="M104" s="5">
        <v>15850469727</v>
      </c>
      <c r="N104" s="5">
        <f t="shared" si="1"/>
        <v>1.8008942316312466E-2</v>
      </c>
    </row>
    <row r="105" spans="12:14" x14ac:dyDescent="0.3">
      <c r="L105" s="2">
        <v>44501</v>
      </c>
      <c r="M105" s="5">
        <v>16135919922</v>
      </c>
      <c r="N105" s="5">
        <f t="shared" si="1"/>
        <v>1.1413055895803794E-2</v>
      </c>
    </row>
    <row r="106" spans="12:14" x14ac:dyDescent="0.3">
      <c r="L106" s="2">
        <v>44531</v>
      </c>
      <c r="M106" s="5">
        <v>16320080078</v>
      </c>
      <c r="N106" s="5">
        <f t="shared" si="1"/>
        <v>-8.5173005668875743E-2</v>
      </c>
    </row>
    <row r="107" spans="12:14" x14ac:dyDescent="0.3">
      <c r="L107" s="2">
        <v>44562</v>
      </c>
      <c r="M107" s="5">
        <v>14930049805</v>
      </c>
      <c r="N107" s="5">
        <f t="shared" si="1"/>
        <v>-4.6365567700127307E-2</v>
      </c>
    </row>
    <row r="108" spans="12:14" x14ac:dyDescent="0.3">
      <c r="L108" s="2">
        <v>44593</v>
      </c>
      <c r="M108" s="5">
        <v>14237809570</v>
      </c>
      <c r="N108" s="5">
        <f t="shared" si="1"/>
        <v>4.2189120527758257E-2</v>
      </c>
    </row>
    <row r="109" spans="12:14" x14ac:dyDescent="0.3">
      <c r="L109" s="2">
        <v>44621</v>
      </c>
      <c r="M109" s="5">
        <v>14838490234</v>
      </c>
      <c r="N109" s="5">
        <f t="shared" si="1"/>
        <v>-0.13368546245053248</v>
      </c>
    </row>
    <row r="110" spans="12:14" x14ac:dyDescent="0.3">
      <c r="L110" s="2">
        <v>44652</v>
      </c>
      <c r="M110" s="5">
        <v>12854799805</v>
      </c>
      <c r="N110" s="5">
        <f t="shared" si="1"/>
        <v>-1.6546363943938526E-2</v>
      </c>
    </row>
    <row r="111" spans="12:14" x14ac:dyDescent="0.3">
      <c r="L111" s="2">
        <v>44682</v>
      </c>
      <c r="M111" s="5">
        <v>12642099609</v>
      </c>
      <c r="N111" s="5">
        <f t="shared" si="1"/>
        <v>-9.0046742013453154E-2</v>
      </c>
    </row>
    <row r="112" spans="12:14" x14ac:dyDescent="0.3">
      <c r="L112" s="2">
        <v>44713</v>
      </c>
      <c r="M112" s="5">
        <v>11503719727</v>
      </c>
      <c r="N112" s="5">
        <f t="shared" si="1"/>
        <v>0.12554634798779465</v>
      </c>
    </row>
    <row r="113" spans="12:14" x14ac:dyDescent="0.3">
      <c r="L113" s="2">
        <v>44743</v>
      </c>
      <c r="M113" s="5">
        <v>12947969727</v>
      </c>
      <c r="N113" s="5">
        <f t="shared" si="1"/>
        <v>-5.2204281308326231E-2</v>
      </c>
    </row>
    <row r="114" spans="12:14" x14ac:dyDescent="0.3">
      <c r="L114" s="2">
        <v>44774</v>
      </c>
      <c r="M114" s="5">
        <v>12272030273</v>
      </c>
      <c r="N114" s="5">
        <f t="shared" si="1"/>
        <v>-0.10599799031313879</v>
      </c>
    </row>
    <row r="115" spans="12:14" x14ac:dyDescent="0.3">
      <c r="L115" s="2">
        <v>44805</v>
      </c>
      <c r="M115" s="5">
        <v>10971219727</v>
      </c>
      <c r="N115" s="5">
        <f t="shared" si="1"/>
        <v>3.9589999727292859E-2</v>
      </c>
    </row>
    <row r="116" spans="12:14" x14ac:dyDescent="0.3">
      <c r="L116" s="2">
        <v>44835</v>
      </c>
      <c r="M116" s="5">
        <v>11405570313</v>
      </c>
      <c r="N116" s="5">
        <f t="shared" si="1"/>
        <v>5.475300575616205E-2</v>
      </c>
    </row>
    <row r="117" spans="12:14" x14ac:dyDescent="0.3">
      <c r="L117" s="2">
        <v>44866</v>
      </c>
      <c r="M117" s="5">
        <v>12030059570</v>
      </c>
      <c r="N117" s="5">
        <f t="shared" si="1"/>
        <v>-9.0631288869004331E-2</v>
      </c>
    </row>
    <row r="118" spans="12:14" x14ac:dyDescent="0.3">
      <c r="L118" s="2">
        <v>44896</v>
      </c>
      <c r="M118" s="5">
        <v>10939759766</v>
      </c>
      <c r="N118" s="5">
        <f t="shared" si="1"/>
        <v>0.10623358710416493</v>
      </c>
    </row>
    <row r="119" spans="12:14" x14ac:dyDescent="0.3">
      <c r="L119" s="2">
        <v>44927</v>
      </c>
      <c r="M119" s="5">
        <v>12101929688</v>
      </c>
      <c r="N119" s="5">
        <f t="shared" si="1"/>
        <v>-4.9421515859000417E-3</v>
      </c>
    </row>
    <row r="120" spans="12:14" x14ac:dyDescent="0.3">
      <c r="L120" s="2">
        <v>44958</v>
      </c>
      <c r="M120" s="5">
        <v>12042120117</v>
      </c>
      <c r="N120" s="5">
        <f t="shared" si="1"/>
        <v>9.4603730981867265E-2</v>
      </c>
    </row>
    <row r="121" spans="12:14" x14ac:dyDescent="0.3">
      <c r="L121" s="2">
        <v>44986</v>
      </c>
      <c r="M121" s="5">
        <v>13181349609</v>
      </c>
      <c r="N121" s="5">
        <f t="shared" si="1"/>
        <v>-1.4821634035607803E-2</v>
      </c>
    </row>
    <row r="122" spans="12:14" x14ac:dyDescent="0.3">
      <c r="L122" s="2">
        <v>45017</v>
      </c>
      <c r="M122" s="5">
        <v>12985980469</v>
      </c>
      <c r="N122" s="5"/>
    </row>
  </sheetData>
  <mergeCells count="2">
    <mergeCell ref="L1:N1"/>
    <mergeCell ref="A2:C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3C5E-CB02-4BAB-B4E6-699EC797E7C1}">
  <dimension ref="A1:O52"/>
  <sheetViews>
    <sheetView zoomScale="92" zoomScaleNormal="100" workbookViewId="0">
      <selection activeCell="E15" sqref="E15"/>
    </sheetView>
  </sheetViews>
  <sheetFormatPr defaultRowHeight="14.4" x14ac:dyDescent="0.3"/>
  <cols>
    <col min="1" max="1" width="25.33203125" bestFit="1" customWidth="1"/>
    <col min="2" max="2" width="12.44140625" bestFit="1" customWidth="1"/>
    <col min="3" max="3" width="13" bestFit="1" customWidth="1"/>
    <col min="5" max="5" width="26.33203125" customWidth="1"/>
    <col min="6" max="6" width="12.77734375" bestFit="1" customWidth="1"/>
    <col min="7" max="7" width="13.6640625" customWidth="1"/>
    <col min="8" max="8" width="9.77734375" bestFit="1" customWidth="1"/>
    <col min="9" max="9" width="31.21875" customWidth="1"/>
    <col min="10" max="10" width="12.77734375" bestFit="1" customWidth="1"/>
    <col min="11" max="11" width="21.5546875" bestFit="1" customWidth="1"/>
    <col min="12" max="12" width="18" bestFit="1" customWidth="1"/>
    <col min="13" max="14" width="12" bestFit="1" customWidth="1"/>
    <col min="15" max="15" width="18.21875" bestFit="1" customWidth="1"/>
  </cols>
  <sheetData>
    <row r="1" spans="1:15" ht="15" thickBot="1" x14ac:dyDescent="0.35">
      <c r="E1" s="185" t="s">
        <v>141</v>
      </c>
      <c r="F1" s="185"/>
      <c r="G1" s="185"/>
    </row>
    <row r="2" spans="1:15" x14ac:dyDescent="0.3">
      <c r="A2" s="182" t="s">
        <v>76</v>
      </c>
      <c r="B2" s="183"/>
      <c r="C2" s="184"/>
      <c r="E2" s="135" t="s">
        <v>74</v>
      </c>
      <c r="F2" s="88"/>
      <c r="I2" s="135" t="s">
        <v>114</v>
      </c>
      <c r="J2" s="157"/>
      <c r="K2" s="140" t="s">
        <v>67</v>
      </c>
      <c r="L2" s="107"/>
      <c r="M2" s="14" t="s">
        <v>132</v>
      </c>
    </row>
    <row r="3" spans="1:15" x14ac:dyDescent="0.3">
      <c r="A3" s="131"/>
      <c r="B3" s="1" t="s">
        <v>77</v>
      </c>
      <c r="C3" s="136" t="s">
        <v>78</v>
      </c>
      <c r="E3" s="32"/>
      <c r="F3" s="89"/>
      <c r="I3" s="32"/>
      <c r="J3" s="108"/>
      <c r="K3" s="38"/>
      <c r="L3" s="108"/>
      <c r="M3" t="s">
        <v>116</v>
      </c>
      <c r="N3" t="s">
        <v>113</v>
      </c>
      <c r="O3" t="s">
        <v>140</v>
      </c>
    </row>
    <row r="4" spans="1:15" x14ac:dyDescent="0.3">
      <c r="A4" s="131" t="s">
        <v>0</v>
      </c>
      <c r="B4" s="5" cm="1">
        <f t="array" ref="B4:C4">LINEST('A1'!C3:C121,'B8'!N3:N121)</f>
        <v>1.2228627208664702</v>
      </c>
      <c r="C4" s="133">
        <v>7.4048229649103098E-3</v>
      </c>
      <c r="D4" s="5"/>
      <c r="E4" s="32" t="s">
        <v>0</v>
      </c>
      <c r="F4" s="69">
        <v>2.4266687078894917E-2</v>
      </c>
      <c r="I4" s="32" t="s">
        <v>4</v>
      </c>
      <c r="J4" s="39">
        <f>C9+B9*M4</f>
        <v>8.8334802790644117E-3</v>
      </c>
      <c r="K4" s="38" t="s">
        <v>4</v>
      </c>
      <c r="L4" s="39">
        <f>SQRT(J13)</f>
        <v>6.1896733762394594E-2</v>
      </c>
      <c r="M4" s="5">
        <v>1.378884467263585E-2</v>
      </c>
      <c r="N4" s="5">
        <v>2.7003721852300031E-3</v>
      </c>
      <c r="O4" s="5">
        <v>5.1965105457701159E-2</v>
      </c>
    </row>
    <row r="5" spans="1:15" x14ac:dyDescent="0.3">
      <c r="A5" s="131" t="s">
        <v>17</v>
      </c>
      <c r="B5" s="5" cm="1">
        <f t="array" ref="B5:C5">LINEST('A1'!H3:H121,'B8'!N3:N121)</f>
        <v>0.80428406460493895</v>
      </c>
      <c r="C5" s="133">
        <v>7.4292567510607331E-3</v>
      </c>
      <c r="E5" s="32" t="s">
        <v>17</v>
      </c>
      <c r="F5" s="69">
        <v>1.8519404790574453E-2</v>
      </c>
      <c r="I5" s="32" t="s">
        <v>13</v>
      </c>
      <c r="J5" s="39">
        <f>C10+B10*M4</f>
        <v>1.4317675829852678E-2</v>
      </c>
      <c r="K5" s="38" t="s">
        <v>13</v>
      </c>
      <c r="L5" s="39">
        <f>SQRT(K14)</f>
        <v>5.3776258029937171E-2</v>
      </c>
    </row>
    <row r="6" spans="1:15" x14ac:dyDescent="0.3">
      <c r="A6" s="131" t="s">
        <v>16</v>
      </c>
      <c r="B6" s="5" cm="1">
        <f t="array" ref="B6:C6">LINEST('A1'!M3:M121,'B8'!N3:N121)</f>
        <v>0.91997865006732682</v>
      </c>
      <c r="C6" s="133">
        <v>-1.9851673630197145E-3</v>
      </c>
      <c r="E6" s="32" t="s">
        <v>16</v>
      </c>
      <c r="F6" s="69">
        <v>1.0700275344899866E-2</v>
      </c>
      <c r="I6" s="32" t="s">
        <v>5</v>
      </c>
      <c r="J6" s="39">
        <f>C11+B11*M4</f>
        <v>-1.5309349758267253E-3</v>
      </c>
      <c r="K6" s="38" t="s">
        <v>5</v>
      </c>
      <c r="L6" s="39">
        <f>SQRT(L15)</f>
        <v>0.10639562722570362</v>
      </c>
    </row>
    <row r="7" spans="1:15" x14ac:dyDescent="0.3">
      <c r="A7" s="131" t="s">
        <v>1</v>
      </c>
      <c r="B7" s="5" cm="1">
        <f t="array" ref="B7:C7">LINEST('A1'!R3:R121,'B8'!N3:N121)</f>
        <v>0.66978689871845321</v>
      </c>
      <c r="C7" s="133">
        <v>3.3402067566636415E-3</v>
      </c>
      <c r="E7" s="32" t="s">
        <v>1</v>
      </c>
      <c r="F7" s="69">
        <v>1.2575794266858873E-2</v>
      </c>
      <c r="I7" s="32" t="s">
        <v>6</v>
      </c>
      <c r="J7" s="39">
        <f>C12+B12*M4</f>
        <v>1.3109002750260737E-2</v>
      </c>
      <c r="K7" s="38" t="s">
        <v>6</v>
      </c>
      <c r="L7" s="39">
        <f>SQRT(M16)</f>
        <v>9.6909150049444295E-2</v>
      </c>
    </row>
    <row r="8" spans="1:15" x14ac:dyDescent="0.3">
      <c r="A8" s="131" t="s">
        <v>2</v>
      </c>
      <c r="B8" s="5" cm="1">
        <f t="array" ref="B8:C8">LINEST('A1'!W3:W121,'B8'!N3:N121)</f>
        <v>0.8870589465115617</v>
      </c>
      <c r="C8" s="133">
        <v>9.0269924277659608E-3</v>
      </c>
      <c r="E8" s="32" t="s">
        <v>2</v>
      </c>
      <c r="F8" s="69">
        <v>2.1258510456685878E-2</v>
      </c>
      <c r="I8" s="34" t="s">
        <v>7</v>
      </c>
      <c r="J8" s="158">
        <f>C13+B13*M4</f>
        <v>2.1621169946770352E-2</v>
      </c>
      <c r="K8" s="40" t="s">
        <v>7</v>
      </c>
      <c r="L8" s="41">
        <f>SQRT(N17)</f>
        <v>0.14436928611459796</v>
      </c>
    </row>
    <row r="9" spans="1:15" x14ac:dyDescent="0.3">
      <c r="A9" s="131" t="s">
        <v>4</v>
      </c>
      <c r="B9" s="5" cm="1">
        <f t="array" ref="B9:C9">LINEST('A1'!AG3:AG121,'B8'!N3:N121)</f>
        <v>0.42439537420400636</v>
      </c>
      <c r="C9" s="133">
        <v>2.9815583843802009E-3</v>
      </c>
      <c r="E9" s="32" t="s">
        <v>4</v>
      </c>
      <c r="F9" s="69">
        <v>8.8334802790644117E-3</v>
      </c>
    </row>
    <row r="10" spans="1:15" x14ac:dyDescent="0.3">
      <c r="A10" s="131" t="s">
        <v>13</v>
      </c>
      <c r="B10" s="5" cm="1">
        <f t="array" ref="B10:C10">LINEST('A1'!AB3:AB121,'B8'!N3:N121)</f>
        <v>0.31026490115733629</v>
      </c>
      <c r="C10" s="133">
        <v>1.0039481300423453E-2</v>
      </c>
      <c r="E10" s="32" t="s">
        <v>13</v>
      </c>
      <c r="F10" s="69">
        <v>1.4317675829852678E-2</v>
      </c>
    </row>
    <row r="11" spans="1:15" x14ac:dyDescent="0.3">
      <c r="A11" s="131" t="s">
        <v>5</v>
      </c>
      <c r="B11" s="5" cm="1">
        <f t="array" ref="B11:C11">LINEST('A1'!AL3:AL121,'B8'!N3:N121)</f>
        <v>0.47289639667923689</v>
      </c>
      <c r="C11" s="133">
        <v>-8.0516299358859098E-3</v>
      </c>
      <c r="E11" s="32" t="s">
        <v>5</v>
      </c>
      <c r="F11" s="69">
        <v>-1.5309349758267255E-3</v>
      </c>
      <c r="I11" s="14" t="s">
        <v>12</v>
      </c>
    </row>
    <row r="12" spans="1:15" x14ac:dyDescent="0.3">
      <c r="A12" s="131" t="s">
        <v>6</v>
      </c>
      <c r="B12" s="5" cm="1">
        <f t="array" ref="B12:C12">LINEST('A1'!AQ3:AQ121,'B8'!N3:N121)</f>
        <v>0.25619993513558403</v>
      </c>
      <c r="C12" s="133">
        <v>9.5763016395367887E-3</v>
      </c>
      <c r="E12" s="32" t="s">
        <v>6</v>
      </c>
      <c r="F12" s="69">
        <v>1.3109002750260737E-2</v>
      </c>
      <c r="J12" s="15" t="s">
        <v>4</v>
      </c>
      <c r="K12" s="15" t="s">
        <v>13</v>
      </c>
      <c r="L12" s="15" t="s">
        <v>5</v>
      </c>
      <c r="M12" s="15" t="s">
        <v>6</v>
      </c>
      <c r="N12" s="15" t="s">
        <v>7</v>
      </c>
    </row>
    <row r="13" spans="1:15" ht="15" thickBot="1" x14ac:dyDescent="0.35">
      <c r="A13" s="132" t="s">
        <v>7</v>
      </c>
      <c r="B13" s="139" cm="1">
        <f t="array" ref="B13:C13">LINEST('A1'!AV3:AV121,'B8'!N3:N121)</f>
        <v>1.2726293569728646</v>
      </c>
      <c r="C13" s="134">
        <v>4.073081417635082E-3</v>
      </c>
      <c r="E13" s="34" t="s">
        <v>7</v>
      </c>
      <c r="F13" s="70">
        <v>2.1621169946770352E-2</v>
      </c>
      <c r="I13" s="15" t="s">
        <v>4</v>
      </c>
      <c r="J13" s="13">
        <f>B9*B9*N4+C17</f>
        <v>3.8312056504527592E-3</v>
      </c>
      <c r="K13" s="5">
        <f>B9*B10*N4</f>
        <v>3.5557147732440228E-4</v>
      </c>
      <c r="L13" s="5">
        <f>B9*B11*N4</f>
        <v>5.4195131244753403E-4</v>
      </c>
      <c r="M13" s="5">
        <f>B9*B12*N4</f>
        <v>2.9361164955097479E-4</v>
      </c>
      <c r="N13" s="5">
        <f>B9*B13*N4</f>
        <v>1.4584656493767437E-3</v>
      </c>
    </row>
    <row r="14" spans="1:15" x14ac:dyDescent="0.3">
      <c r="I14" s="15" t="s">
        <v>13</v>
      </c>
      <c r="J14" s="5">
        <f>B10*B9*N4</f>
        <v>3.5557147732440228E-4</v>
      </c>
      <c r="K14" s="13">
        <f>B10*B10*N4+C18</f>
        <v>2.8918859277023818E-3</v>
      </c>
      <c r="L14" s="5">
        <f>B10*B11*N4</f>
        <v>3.9620712337876254E-4</v>
      </c>
      <c r="M14" s="5">
        <f>B10*B12*N4</f>
        <v>2.1465217333586028E-4</v>
      </c>
      <c r="N14" s="5">
        <f>B10*B13*N4</f>
        <v>1.0662479566229302E-3</v>
      </c>
    </row>
    <row r="15" spans="1:15" x14ac:dyDescent="0.3">
      <c r="A15" s="186" t="s">
        <v>115</v>
      </c>
      <c r="B15" s="187"/>
      <c r="C15" s="188"/>
      <c r="E15" s="140" t="s">
        <v>67</v>
      </c>
      <c r="F15" s="107"/>
      <c r="I15" s="15" t="s">
        <v>5</v>
      </c>
      <c r="J15" s="5">
        <f>B9*B11*N4</f>
        <v>5.4195131244753403E-4</v>
      </c>
      <c r="K15" s="5">
        <f>B10*B11*N4</f>
        <v>3.9620712337876254E-4</v>
      </c>
      <c r="L15" s="13">
        <f>B11*B11*N4+C19</f>
        <v>1.1320029492750884E-2</v>
      </c>
      <c r="M15" s="5">
        <f>B12*B11*N4</f>
        <v>3.2716636310215494E-4</v>
      </c>
      <c r="N15" s="5">
        <f>B11*B13*N4</f>
        <v>1.6251429496947482E-3</v>
      </c>
    </row>
    <row r="16" spans="1:15" x14ac:dyDescent="0.3">
      <c r="A16" s="153"/>
      <c r="B16" t="s">
        <v>117</v>
      </c>
      <c r="C16" s="154" t="s">
        <v>113</v>
      </c>
      <c r="E16" s="38"/>
      <c r="F16" s="108"/>
      <c r="I16" s="15" t="s">
        <v>6</v>
      </c>
      <c r="J16" s="5">
        <f>B9*B12*N4</f>
        <v>2.9361164955097479E-4</v>
      </c>
      <c r="K16" s="5">
        <f>B10*B12*N4</f>
        <v>2.1465217333586028E-4</v>
      </c>
      <c r="L16" s="5">
        <f>B11*B12*N4</f>
        <v>3.2716636310215494E-4</v>
      </c>
      <c r="M16" s="13">
        <f>B12*B12*N4+C20</f>
        <v>9.3913833633057098E-3</v>
      </c>
      <c r="N16" s="5">
        <f>N4*B12*B13</f>
        <v>8.8044975859746712E-4</v>
      </c>
    </row>
    <row r="17" spans="1:15" x14ac:dyDescent="0.3">
      <c r="A17" s="153" t="s">
        <v>4</v>
      </c>
      <c r="B17" s="5">
        <v>-3.1487417715209271E-18</v>
      </c>
      <c r="C17" s="162">
        <v>3.3448377447938536E-3</v>
      </c>
      <c r="E17" s="38" t="s">
        <v>0</v>
      </c>
      <c r="F17" s="39">
        <f>SQRT(0.00651933151341803)</f>
        <v>8.0742377432287876E-2</v>
      </c>
      <c r="I17" s="15" t="s">
        <v>7</v>
      </c>
      <c r="J17" s="5">
        <f>B9*B13*N4</f>
        <v>1.4584656493767437E-3</v>
      </c>
      <c r="K17" s="5">
        <f>B10*B13*N4</f>
        <v>1.0662479566229302E-3</v>
      </c>
      <c r="L17" s="5">
        <f>B11*B13*N4</f>
        <v>1.6251429496947482E-3</v>
      </c>
      <c r="M17" s="5">
        <f>B12*B13*N4</f>
        <v>8.8044975859746712E-4</v>
      </c>
      <c r="N17" s="13">
        <f>B13*B13*N4+C21</f>
        <v>2.0842490773238645E-2</v>
      </c>
    </row>
    <row r="18" spans="1:15" x14ac:dyDescent="0.3">
      <c r="A18" s="153" t="s">
        <v>13</v>
      </c>
      <c r="B18" s="5">
        <v>-7.8718544288023177E-18</v>
      </c>
      <c r="C18" s="162">
        <v>2.6319364655449729E-3</v>
      </c>
      <c r="E18" s="38" t="s">
        <v>17</v>
      </c>
      <c r="F18" s="39">
        <f>SQRT(0.00796327389222818)</f>
        <v>8.9237177746879587E-2</v>
      </c>
    </row>
    <row r="19" spans="1:15" x14ac:dyDescent="0.3">
      <c r="A19" s="153" t="s">
        <v>5</v>
      </c>
      <c r="B19" s="5">
        <v>3.9067721979981874E-18</v>
      </c>
      <c r="C19" s="162">
        <v>1.0716142555216015E-2</v>
      </c>
      <c r="E19" s="38" t="s">
        <v>16</v>
      </c>
      <c r="F19" s="39">
        <f>SQRT(0.00620940349714009)</f>
        <v>7.8799768382528196E-2</v>
      </c>
      <c r="I19" t="s">
        <v>29</v>
      </c>
      <c r="J19" t="s">
        <v>4</v>
      </c>
      <c r="K19" t="s">
        <v>13</v>
      </c>
      <c r="L19" t="s">
        <v>5</v>
      </c>
      <c r="M19" t="s">
        <v>6</v>
      </c>
      <c r="N19" t="s">
        <v>7</v>
      </c>
      <c r="O19" t="s">
        <v>53</v>
      </c>
    </row>
    <row r="20" spans="1:15" x14ac:dyDescent="0.3">
      <c r="A20" s="153" t="s">
        <v>6</v>
      </c>
      <c r="B20" s="5">
        <v>4.6939576408784195E-18</v>
      </c>
      <c r="C20" s="162">
        <v>9.2141352353988029E-3</v>
      </c>
      <c r="E20" s="38" t="s">
        <v>1</v>
      </c>
      <c r="F20" s="39">
        <f>SQRT(0.0048037189882486)</f>
        <v>6.9308866591862542E-2</v>
      </c>
      <c r="J20" s="5">
        <v>0.31579194398749566</v>
      </c>
      <c r="K20" s="5">
        <v>0.44430761923245887</v>
      </c>
      <c r="L20" s="5">
        <v>9.4082616316829751E-2</v>
      </c>
      <c r="M20" s="5">
        <v>0.13272797891230179</v>
      </c>
      <c r="N20" s="5">
        <v>1.3089841550914081E-2</v>
      </c>
      <c r="O20">
        <f>SUM(J20:N20)</f>
        <v>1.0000000000000002</v>
      </c>
    </row>
    <row r="21" spans="1:15" x14ac:dyDescent="0.3">
      <c r="A21" s="155" t="s">
        <v>7</v>
      </c>
      <c r="B21" s="156">
        <v>-7.594881772974089E-18</v>
      </c>
      <c r="C21" s="163">
        <v>1.6469007190825426E-2</v>
      </c>
      <c r="E21" s="38" t="s">
        <v>2</v>
      </c>
      <c r="F21" s="39">
        <f>SQRT(0.00372573470405919)</f>
        <v>6.1038796712084599E-2</v>
      </c>
    </row>
    <row r="22" spans="1:15" x14ac:dyDescent="0.3">
      <c r="B22" s="5"/>
      <c r="E22" s="38" t="s">
        <v>4</v>
      </c>
      <c r="F22" s="39">
        <f>SQRT(0.00383120565045276)</f>
        <v>6.1896733762394601E-2</v>
      </c>
      <c r="I22" t="s">
        <v>37</v>
      </c>
      <c r="J22" s="5">
        <f>J20*J4+J5*K20+J6*L20+J7*M20+J8*N20</f>
        <v>1.1029909131814723E-2</v>
      </c>
      <c r="K22" s="5"/>
      <c r="L22" s="116">
        <f>(J22-B52)/J26</f>
        <v>8.296143406060541E-2</v>
      </c>
    </row>
    <row r="23" spans="1:15" x14ac:dyDescent="0.3">
      <c r="B23" s="5"/>
      <c r="E23" s="38" t="s">
        <v>13</v>
      </c>
      <c r="F23" s="39">
        <f>SQRT(0.00289188592770238)</f>
        <v>5.377625802993715E-2</v>
      </c>
      <c r="J23" s="5"/>
      <c r="K23" s="5"/>
      <c r="L23" s="5"/>
    </row>
    <row r="24" spans="1:15" x14ac:dyDescent="0.3">
      <c r="B24" s="5"/>
      <c r="E24" s="38" t="s">
        <v>5</v>
      </c>
      <c r="F24" s="39">
        <f>SQRT(0.0113200294927509)</f>
        <v>0.10639562722570368</v>
      </c>
      <c r="I24" t="s">
        <v>118</v>
      </c>
      <c r="J24" s="5" cm="1">
        <f t="array" ref="J24">MMULT(MMULT(J20:N20,J13:N17),TRANSPOSE(J20:N20))</f>
        <v>1.4768969130691644E-3</v>
      </c>
      <c r="K24" s="5"/>
      <c r="L24" s="5"/>
    </row>
    <row r="25" spans="1:15" x14ac:dyDescent="0.3">
      <c r="B25" s="5"/>
      <c r="E25" s="38" t="s">
        <v>6</v>
      </c>
      <c r="F25" s="39">
        <f>SQRT(0.00939138336330571)</f>
        <v>9.6909150049444295E-2</v>
      </c>
      <c r="J25" s="5"/>
      <c r="K25" s="5"/>
      <c r="L25" s="5"/>
    </row>
    <row r="26" spans="1:15" x14ac:dyDescent="0.3">
      <c r="B26" s="5"/>
      <c r="E26" s="40" t="s">
        <v>7</v>
      </c>
      <c r="F26" s="41">
        <f>SQRT(0.0208424907732386)</f>
        <v>0.14436928611459779</v>
      </c>
      <c r="I26" t="s">
        <v>39</v>
      </c>
      <c r="J26" s="5">
        <f>SQRT(J24)</f>
        <v>3.8430416509181428E-2</v>
      </c>
      <c r="K26" s="5"/>
      <c r="L26" s="5"/>
    </row>
    <row r="27" spans="1:15" x14ac:dyDescent="0.3">
      <c r="J27" s="5"/>
      <c r="K27" s="5"/>
      <c r="L27" s="5"/>
    </row>
    <row r="28" spans="1:15" x14ac:dyDescent="0.3">
      <c r="I28" t="s">
        <v>121</v>
      </c>
      <c r="J28" s="5">
        <v>0</v>
      </c>
      <c r="K28" s="5"/>
      <c r="L28" s="5"/>
    </row>
    <row r="30" spans="1:15" x14ac:dyDescent="0.3">
      <c r="A30" s="20" t="s">
        <v>119</v>
      </c>
      <c r="B30" s="21" t="s">
        <v>38</v>
      </c>
      <c r="C30" s="21" t="s">
        <v>120</v>
      </c>
      <c r="D30" s="22"/>
      <c r="E30" s="20" t="s">
        <v>29</v>
      </c>
      <c r="F30" s="21" t="s">
        <v>4</v>
      </c>
      <c r="G30" s="21" t="s">
        <v>13</v>
      </c>
      <c r="H30" s="21" t="s">
        <v>5</v>
      </c>
      <c r="I30" s="21" t="s">
        <v>6</v>
      </c>
      <c r="J30" s="22" t="s">
        <v>7</v>
      </c>
      <c r="K30" t="s">
        <v>129</v>
      </c>
      <c r="L30" t="s">
        <v>122</v>
      </c>
    </row>
    <row r="31" spans="1:15" x14ac:dyDescent="0.3">
      <c r="A31" s="25">
        <v>-4.425011247891927E-3</v>
      </c>
      <c r="B31" s="5">
        <v>1.0246496442670127E-2</v>
      </c>
      <c r="C31" s="5">
        <v>0.10122497934141615</v>
      </c>
      <c r="D31" s="24"/>
      <c r="E31" s="23"/>
      <c r="F31" s="5">
        <v>0.74123738090416802</v>
      </c>
      <c r="G31" s="5">
        <v>-0.21542781163559588</v>
      </c>
      <c r="H31" s="5">
        <v>0.77756854195965086</v>
      </c>
      <c r="I31" s="5">
        <v>1.6270226054041777E-2</v>
      </c>
      <c r="J31" s="26">
        <v>-0.31964833728226411</v>
      </c>
      <c r="K31" s="5">
        <f>(A31-B52)/C31</f>
        <v>-0.12118232075093828</v>
      </c>
      <c r="L31" s="5">
        <v>-4.4250000000000001E-3</v>
      </c>
    </row>
    <row r="32" spans="1:15" x14ac:dyDescent="0.3">
      <c r="A32" s="25">
        <v>-1.5309999891227714E-3</v>
      </c>
      <c r="B32" s="5">
        <v>7.2696945601561664E-3</v>
      </c>
      <c r="C32" s="5">
        <v>8.5262503834664424E-2</v>
      </c>
      <c r="D32" s="24"/>
      <c r="E32" s="23"/>
      <c r="F32" s="5">
        <v>0.66157062050872895</v>
      </c>
      <c r="G32" s="5">
        <v>-9.1889018763416208E-2</v>
      </c>
      <c r="H32" s="5">
        <v>0.64958236974462025</v>
      </c>
      <c r="I32" s="5">
        <v>3.8077479897248079E-2</v>
      </c>
      <c r="J32" s="26">
        <v>-0.25734145138718034</v>
      </c>
      <c r="K32" s="5">
        <f>(A32-B52)/C32</f>
        <v>-0.10992718058062559</v>
      </c>
      <c r="L32" s="5">
        <v>-1.531E-3</v>
      </c>
    </row>
    <row r="33" spans="1:12" x14ac:dyDescent="0.3">
      <c r="A33" s="25">
        <v>1.3629999998119816E-3</v>
      </c>
      <c r="B33" s="5">
        <v>4.9079030615175271E-3</v>
      </c>
      <c r="C33" s="5">
        <v>7.0056427695947554E-2</v>
      </c>
      <c r="D33" s="24"/>
      <c r="E33" s="23"/>
      <c r="F33" s="5">
        <v>0.58173115194455483</v>
      </c>
      <c r="G33" s="5">
        <v>3.1777658207167617E-2</v>
      </c>
      <c r="H33" s="5">
        <v>0.52165131434269518</v>
      </c>
      <c r="I33" s="5">
        <v>5.9885877667571842E-2</v>
      </c>
      <c r="J33" s="26">
        <v>-0.19504600216198956</v>
      </c>
      <c r="K33" s="5">
        <f>(A33-B52)/C33</f>
        <v>-9.2477833653933889E-2</v>
      </c>
      <c r="L33" s="5">
        <v>1.3630000000000001E-3</v>
      </c>
    </row>
    <row r="34" spans="1:12" x14ac:dyDescent="0.3">
      <c r="A34" s="25">
        <v>4.2569999882578471E-3</v>
      </c>
      <c r="B34" s="5">
        <v>3.1611086206086007E-3</v>
      </c>
      <c r="C34" s="5">
        <v>5.6223737163306753E-2</v>
      </c>
      <c r="D34" s="24"/>
      <c r="E34" s="23"/>
      <c r="F34" s="5">
        <v>0.50223764308414864</v>
      </c>
      <c r="G34" s="5">
        <v>0.15518755699207448</v>
      </c>
      <c r="H34" s="5">
        <v>0.39361104877007141</v>
      </c>
      <c r="I34" s="5">
        <v>8.1691902183133783E-2</v>
      </c>
      <c r="J34" s="26">
        <v>-0.13272815102942825</v>
      </c>
      <c r="K34" s="5">
        <f>(A34-B52)/C34</f>
        <v>-6.3757175514620137E-2</v>
      </c>
      <c r="L34" s="5">
        <v>4.2570000000000004E-3</v>
      </c>
    </row>
    <row r="35" spans="1:12" x14ac:dyDescent="0.3">
      <c r="A35" s="25">
        <v>7.1509999769481455E-3</v>
      </c>
      <c r="B35" s="5">
        <v>2.0293117735971926E-3</v>
      </c>
      <c r="C35" s="5">
        <v>4.5047883120044527E-2</v>
      </c>
      <c r="D35" s="24"/>
      <c r="E35" s="23"/>
      <c r="F35" s="5">
        <v>0.42257120870108578</v>
      </c>
      <c r="G35" s="5">
        <v>0.27872582206047958</v>
      </c>
      <c r="H35" s="5">
        <v>0.26562536976202039</v>
      </c>
      <c r="I35" s="5">
        <v>0.10349910165308723</v>
      </c>
      <c r="J35" s="26">
        <v>-7.0421502176673076E-2</v>
      </c>
      <c r="K35" s="5">
        <f>(A35-B52)/C35</f>
        <v>-1.5331834525454139E-2</v>
      </c>
      <c r="L35" s="5">
        <v>7.1510000000000002E-3</v>
      </c>
    </row>
    <row r="36" spans="1:12" x14ac:dyDescent="0.3">
      <c r="A36" s="25">
        <v>1.0044999965638443E-2</v>
      </c>
      <c r="B36" s="5">
        <v>1.5125123417606737E-3</v>
      </c>
      <c r="C36" s="5">
        <v>3.8891031636621234E-2</v>
      </c>
      <c r="D36" s="24"/>
      <c r="E36" s="23"/>
      <c r="F36" s="5">
        <v>0.34290475494912953</v>
      </c>
      <c r="G36" s="5">
        <v>0.40226408628736759</v>
      </c>
      <c r="H36" s="5">
        <v>0.13763969555981723</v>
      </c>
      <c r="I36" s="5">
        <v>0.12530631787129312</v>
      </c>
      <c r="J36" s="26">
        <v>-8.1148546676073855E-3</v>
      </c>
      <c r="K36" s="5">
        <f>(A36-B52)/C36</f>
        <v>5.665402038080769E-2</v>
      </c>
      <c r="L36" s="5">
        <v>1.0045E-2</v>
      </c>
    </row>
    <row r="37" spans="1:12" x14ac:dyDescent="0.3">
      <c r="A37" s="25">
        <v>1.2939011224407345E-2</v>
      </c>
      <c r="B37" s="5">
        <v>1.6107119050047807E-3</v>
      </c>
      <c r="C37" s="5">
        <v>4.0133675448490641E-2</v>
      </c>
      <c r="D37" s="24"/>
      <c r="E37" s="23"/>
      <c r="F37" s="5">
        <v>0.26323795650713472</v>
      </c>
      <c r="G37" s="5">
        <v>0.52580286230772988</v>
      </c>
      <c r="H37" s="5">
        <v>9.6535378262465159E-3</v>
      </c>
      <c r="I37" s="5">
        <v>0.14711360394232861</v>
      </c>
      <c r="J37" s="26">
        <v>5.4192039416560284E-2</v>
      </c>
      <c r="K37" s="5">
        <f>(A37-B52)/C37</f>
        <v>0.12700916377028162</v>
      </c>
      <c r="L37" s="5">
        <v>1.2939000000000001E-2</v>
      </c>
    </row>
    <row r="38" spans="1:12" x14ac:dyDescent="0.3">
      <c r="A38" s="25">
        <v>1.5833011213097634E-2</v>
      </c>
      <c r="B38" s="5">
        <v>2.3239096984971484E-3</v>
      </c>
      <c r="C38" s="5">
        <v>4.8206946579275774E-2</v>
      </c>
      <c r="D38" s="24"/>
      <c r="E38" s="23"/>
      <c r="F38" s="5">
        <v>0.1835715577195815</v>
      </c>
      <c r="G38" s="5">
        <v>0.64934109939835083</v>
      </c>
      <c r="H38" s="5">
        <v>-0.11833214916712814</v>
      </c>
      <c r="I38" s="5">
        <v>0.1689207956620013</v>
      </c>
      <c r="J38" s="26">
        <v>0.11649869638719444</v>
      </c>
      <c r="K38" s="5">
        <f>(A38-B52)/C38</f>
        <v>0.16577163901657394</v>
      </c>
      <c r="L38" s="5">
        <v>1.5833E-2</v>
      </c>
    </row>
    <row r="39" spans="1:12" x14ac:dyDescent="0.3">
      <c r="A39" s="25">
        <v>2.1620999920399359E-2</v>
      </c>
      <c r="B39" s="5">
        <v>5.5952887661638619E-3</v>
      </c>
      <c r="C39" s="5">
        <v>7.4801662856943646E-2</v>
      </c>
      <c r="D39" s="24"/>
      <c r="E39" s="23"/>
      <c r="F39" s="5">
        <v>2.4239041996029581E-2</v>
      </c>
      <c r="G39" s="5">
        <v>0.89641713498202569</v>
      </c>
      <c r="H39" s="5">
        <v>-0.37430301430807555</v>
      </c>
      <c r="I39" s="5">
        <v>0.21253507199489663</v>
      </c>
      <c r="J39" s="26">
        <v>0.24111176533512355</v>
      </c>
      <c r="K39" s="5">
        <f>(A39-B52)/C39</f>
        <v>0.1842115900562977</v>
      </c>
      <c r="L39" s="5">
        <v>2.1621000000000001E-2</v>
      </c>
    </row>
    <row r="40" spans="1:12" x14ac:dyDescent="0.3">
      <c r="A40" s="168">
        <v>2.3647249864718806E-2</v>
      </c>
      <c r="B40" s="160">
        <v>7.3218622606416872E-3</v>
      </c>
      <c r="C40" s="160">
        <v>8.5567881010585323E-2</v>
      </c>
      <c r="D40" s="24"/>
      <c r="E40" s="23"/>
      <c r="F40" s="160">
        <v>-3.153820574203698E-2</v>
      </c>
      <c r="G40" s="160">
        <v>0.98291605575812491</v>
      </c>
      <c r="H40" s="160">
        <v>-0.46391315225878826</v>
      </c>
      <c r="I40" s="160">
        <v>0.22779923965390367</v>
      </c>
      <c r="J40" s="169">
        <v>0.28473606258879586</v>
      </c>
      <c r="K40" s="160">
        <v>0.1847139722449932</v>
      </c>
      <c r="L40" s="5"/>
    </row>
    <row r="41" spans="1:12" x14ac:dyDescent="0.3">
      <c r="A41" s="27">
        <v>2.4514999909089664E-2</v>
      </c>
      <c r="B41" s="28">
        <v>8.1534764102019971E-3</v>
      </c>
      <c r="C41" s="28">
        <v>9.0296602428895395E-2</v>
      </c>
      <c r="D41" s="51"/>
      <c r="E41" s="71"/>
      <c r="F41" s="28">
        <v>-5.5427386944782275E-2</v>
      </c>
      <c r="G41" s="28">
        <v>1.0199554057800957</v>
      </c>
      <c r="H41" s="28">
        <v>-0.5022886918871583</v>
      </c>
      <c r="I41" s="28">
        <v>0.23434225448632984</v>
      </c>
      <c r="J41" s="29">
        <v>0.30341841856551549</v>
      </c>
      <c r="K41" s="5">
        <f>(A41-B52)/C41</f>
        <v>0.18465072653816086</v>
      </c>
      <c r="L41" s="5">
        <v>2.4514999999999999E-2</v>
      </c>
    </row>
    <row r="42" spans="1:12" x14ac:dyDescent="0.3">
      <c r="A42" s="5"/>
      <c r="B42" s="5"/>
      <c r="C42" s="5"/>
      <c r="F42" s="5"/>
      <c r="G42" s="5"/>
      <c r="H42" s="5"/>
      <c r="I42" s="5"/>
      <c r="J42" s="5"/>
      <c r="K42" s="5"/>
      <c r="L42" s="5"/>
    </row>
    <row r="43" spans="1:12" x14ac:dyDescent="0.3">
      <c r="A43" s="5">
        <v>2.3647249864718806E-2</v>
      </c>
      <c r="B43" s="5">
        <v>7.3218622606416872E-3</v>
      </c>
      <c r="C43" s="5">
        <v>8.5567881010585323E-2</v>
      </c>
      <c r="F43" s="5">
        <v>-3.153820574203698E-2</v>
      </c>
      <c r="G43" s="5">
        <v>0.98291605575812491</v>
      </c>
      <c r="H43" s="5">
        <v>-0.46391315225878826</v>
      </c>
      <c r="I43" s="5">
        <v>0.22779923965390367</v>
      </c>
      <c r="J43" s="5">
        <v>0.28473606258879586</v>
      </c>
      <c r="K43" s="5">
        <v>0.1847139722449932</v>
      </c>
      <c r="L43" s="5"/>
    </row>
    <row r="45" spans="1:12" x14ac:dyDescent="0.3">
      <c r="A45" s="159" t="s">
        <v>133</v>
      </c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</row>
    <row r="46" spans="1:12" x14ac:dyDescent="0.3">
      <c r="A46" s="161">
        <v>1.1029909131814723E-2</v>
      </c>
      <c r="B46" s="161">
        <v>1.4768969130691644E-3</v>
      </c>
      <c r="C46" s="161">
        <v>3.8430416509181428E-2</v>
      </c>
      <c r="D46" s="161"/>
      <c r="E46" s="161"/>
      <c r="F46" s="161">
        <v>0.31579194398749599</v>
      </c>
      <c r="G46" s="161">
        <v>0.44430761923245887</v>
      </c>
      <c r="H46" s="161">
        <v>9.4082616316829751E-2</v>
      </c>
      <c r="I46" s="161">
        <v>0.13272797891230179</v>
      </c>
      <c r="J46" s="161">
        <v>1.3089841550914081E-2</v>
      </c>
      <c r="K46" s="161"/>
      <c r="L46" s="161"/>
    </row>
    <row r="48" spans="1:12" x14ac:dyDescent="0.3">
      <c r="A48" t="s">
        <v>142</v>
      </c>
    </row>
    <row r="49" spans="1:5" x14ac:dyDescent="0.3">
      <c r="A49" t="s">
        <v>117</v>
      </c>
      <c r="B49" s="5">
        <v>2.3647249864718806E-2</v>
      </c>
      <c r="E49" t="s">
        <v>131</v>
      </c>
    </row>
    <row r="50" spans="1:5" x14ac:dyDescent="0.3">
      <c r="A50" t="s">
        <v>113</v>
      </c>
      <c r="B50" s="5">
        <v>7.3218622606416872E-3</v>
      </c>
    </row>
    <row r="51" spans="1:5" x14ac:dyDescent="0.3">
      <c r="A51" t="s">
        <v>130</v>
      </c>
      <c r="B51" s="5">
        <v>8.5567881010585323E-2</v>
      </c>
    </row>
    <row r="52" spans="1:5" x14ac:dyDescent="0.3">
      <c r="A52" t="s">
        <v>128</v>
      </c>
      <c r="B52" s="5">
        <v>7.8416666666666669E-3</v>
      </c>
    </row>
  </sheetData>
  <mergeCells count="3">
    <mergeCell ref="E1:G1"/>
    <mergeCell ref="A2:C2"/>
    <mergeCell ref="A15:C1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A86F-34AB-4E9C-994B-67378AE7A21F}">
  <dimension ref="A2:F19"/>
  <sheetViews>
    <sheetView workbookViewId="0">
      <selection activeCell="E19" sqref="E19"/>
    </sheetView>
  </sheetViews>
  <sheetFormatPr defaultRowHeight="14.4" x14ac:dyDescent="0.3"/>
  <cols>
    <col min="1" max="1" width="20.77734375" bestFit="1" customWidth="1"/>
    <col min="2" max="2" width="12" bestFit="1" customWidth="1"/>
    <col min="3" max="3" width="17.44140625" bestFit="1" customWidth="1"/>
    <col min="5" max="5" width="18.5546875" customWidth="1"/>
    <col min="8" max="8" width="9.21875" bestFit="1" customWidth="1"/>
  </cols>
  <sheetData>
    <row r="2" spans="1:6" x14ac:dyDescent="0.3">
      <c r="A2" s="186" t="s">
        <v>76</v>
      </c>
      <c r="B2" s="187"/>
      <c r="C2" s="188"/>
      <c r="E2" s="189" t="s">
        <v>134</v>
      </c>
      <c r="F2" s="190"/>
    </row>
    <row r="3" spans="1:6" x14ac:dyDescent="0.3">
      <c r="A3" s="153"/>
      <c r="B3" t="s">
        <v>77</v>
      </c>
      <c r="C3" s="154" t="s">
        <v>78</v>
      </c>
      <c r="E3" s="32"/>
      <c r="F3" s="89"/>
    </row>
    <row r="4" spans="1:6" x14ac:dyDescent="0.3">
      <c r="A4" s="153" t="s">
        <v>0</v>
      </c>
      <c r="B4" s="5">
        <v>1.2228627208664702</v>
      </c>
      <c r="C4" s="162">
        <v>7.4048229649103098E-3</v>
      </c>
      <c r="E4" s="32" t="s">
        <v>4</v>
      </c>
      <c r="F4" s="69">
        <f>B19+B9*(A17-B19)</f>
        <v>1.0365621501967794E-2</v>
      </c>
    </row>
    <row r="5" spans="1:6" x14ac:dyDescent="0.3">
      <c r="A5" s="153" t="s">
        <v>17</v>
      </c>
      <c r="B5" s="5">
        <v>0.80428406460493895</v>
      </c>
      <c r="C5" s="162">
        <v>7.4292567510607331E-3</v>
      </c>
      <c r="E5" s="32" t="s">
        <v>13</v>
      </c>
      <c r="F5" s="69">
        <f>B19+B10*(A17-B19)</f>
        <v>9.6868672628537805E-3</v>
      </c>
    </row>
    <row r="6" spans="1:6" x14ac:dyDescent="0.3">
      <c r="A6" s="153" t="s">
        <v>16</v>
      </c>
      <c r="B6" s="5">
        <v>0.91997865006732682</v>
      </c>
      <c r="C6" s="162">
        <v>-1.9851673630197145E-3</v>
      </c>
      <c r="E6" s="32" t="s">
        <v>5</v>
      </c>
      <c r="F6" s="69">
        <f>B19+B11*(A17-B19)</f>
        <v>1.0654065716099503E-2</v>
      </c>
    </row>
    <row r="7" spans="1:6" x14ac:dyDescent="0.3">
      <c r="A7" s="153" t="s">
        <v>1</v>
      </c>
      <c r="B7" s="5">
        <v>0.66978689871845321</v>
      </c>
      <c r="C7" s="162">
        <v>3.3402067566636415E-3</v>
      </c>
      <c r="E7" s="32" t="s">
        <v>6</v>
      </c>
      <c r="F7" s="69">
        <f>B19+B12*(A17-B19)</f>
        <v>9.3653332860357437E-3</v>
      </c>
    </row>
    <row r="8" spans="1:6" x14ac:dyDescent="0.3">
      <c r="A8" s="153" t="s">
        <v>2</v>
      </c>
      <c r="B8" s="5">
        <v>0.8870589465115617</v>
      </c>
      <c r="C8" s="162">
        <v>9.0269924277659608E-3</v>
      </c>
      <c r="E8" s="34" t="s">
        <v>7</v>
      </c>
      <c r="F8" s="70">
        <f>B19+B13*(A17-B19)</f>
        <v>1.5410219988206391E-2</v>
      </c>
    </row>
    <row r="9" spans="1:6" x14ac:dyDescent="0.3">
      <c r="A9" s="153" t="s">
        <v>4</v>
      </c>
      <c r="B9" s="5">
        <v>0.42439537420400636</v>
      </c>
      <c r="C9" s="162">
        <v>2.9815583843802009E-3</v>
      </c>
    </row>
    <row r="10" spans="1:6" x14ac:dyDescent="0.3">
      <c r="A10" s="153" t="s">
        <v>13</v>
      </c>
      <c r="B10" s="5">
        <v>0.31026490115733629</v>
      </c>
      <c r="C10" s="162">
        <v>1.0039481300423453E-2</v>
      </c>
    </row>
    <row r="11" spans="1:6" x14ac:dyDescent="0.3">
      <c r="A11" s="153" t="s">
        <v>5</v>
      </c>
      <c r="B11" s="5">
        <v>0.47289639667923689</v>
      </c>
      <c r="C11" s="162">
        <v>-8.0516299358859098E-3</v>
      </c>
    </row>
    <row r="12" spans="1:6" x14ac:dyDescent="0.3">
      <c r="A12" s="153" t="s">
        <v>6</v>
      </c>
      <c r="B12" s="5">
        <v>0.25619993513558403</v>
      </c>
      <c r="C12" s="162">
        <v>9.5763016395367887E-3</v>
      </c>
    </row>
    <row r="13" spans="1:6" x14ac:dyDescent="0.3">
      <c r="A13" s="155" t="s">
        <v>7</v>
      </c>
      <c r="B13" s="156">
        <v>1.2726293569728646</v>
      </c>
      <c r="C13" s="163">
        <v>4.073081417635082E-3</v>
      </c>
    </row>
    <row r="15" spans="1:6" x14ac:dyDescent="0.3">
      <c r="A15" s="14" t="s">
        <v>132</v>
      </c>
    </row>
    <row r="16" spans="1:6" x14ac:dyDescent="0.3">
      <c r="A16" t="s">
        <v>116</v>
      </c>
      <c r="B16" t="s">
        <v>113</v>
      </c>
      <c r="C16" t="s">
        <v>140</v>
      </c>
    </row>
    <row r="17" spans="1:3" x14ac:dyDescent="0.3">
      <c r="A17" s="5">
        <v>1.378884467263585E-2</v>
      </c>
      <c r="B17" s="5">
        <v>2.7003721852300031E-3</v>
      </c>
      <c r="C17" s="5">
        <v>5.1965105457701159E-2</v>
      </c>
    </row>
    <row r="19" spans="1:3" x14ac:dyDescent="0.3">
      <c r="A19" t="s">
        <v>127</v>
      </c>
      <c r="B19" s="5">
        <v>7.8416666666666669E-3</v>
      </c>
    </row>
  </sheetData>
  <mergeCells count="2">
    <mergeCell ref="A2:C2"/>
    <mergeCell ref="E2:F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24B7-8389-419B-82A4-C835B2F5C3D0}">
  <dimension ref="A1:I143"/>
  <sheetViews>
    <sheetView topLeftCell="A14" workbookViewId="0">
      <selection activeCell="E25" sqref="E25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5.109375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0.78702401726291227</v>
      </c>
    </row>
    <row r="5" spans="1:9" x14ac:dyDescent="0.3">
      <c r="A5" t="s">
        <v>82</v>
      </c>
      <c r="B5">
        <v>0.61940680374865276</v>
      </c>
    </row>
    <row r="6" spans="1:9" x14ac:dyDescent="0.3">
      <c r="A6" t="s">
        <v>83</v>
      </c>
      <c r="B6">
        <v>0.61615387044735914</v>
      </c>
    </row>
    <row r="7" spans="1:9" x14ac:dyDescent="0.3">
      <c r="A7" t="s">
        <v>84</v>
      </c>
      <c r="B7">
        <v>5.0235715574461964E-2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0.48053607714119123</v>
      </c>
      <c r="D12">
        <v>0.48053607714119123</v>
      </c>
      <c r="E12">
        <v>190.41484911551629</v>
      </c>
      <c r="F12">
        <v>2.6649318875667084E-26</v>
      </c>
    </row>
    <row r="13" spans="1:9" x14ac:dyDescent="0.3">
      <c r="A13" t="s">
        <v>88</v>
      </c>
      <c r="B13">
        <v>117</v>
      </c>
      <c r="C13">
        <v>0.29526437295555413</v>
      </c>
      <c r="D13">
        <v>2.5236271192782406E-3</v>
      </c>
    </row>
    <row r="14" spans="1:9" ht="15" thickBot="1" x14ac:dyDescent="0.35">
      <c r="A14" s="79" t="s">
        <v>89</v>
      </c>
      <c r="B14" s="79">
        <v>118</v>
      </c>
      <c r="C14" s="79">
        <v>0.77580045009674536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7.4048229649103098E-3</v>
      </c>
      <c r="C17">
        <v>4.7644647516168316E-3</v>
      </c>
      <c r="D17">
        <v>1.5541773002722801</v>
      </c>
      <c r="E17">
        <v>0.12284302069313868</v>
      </c>
      <c r="F17">
        <v>-2.0309498114409637E-3</v>
      </c>
      <c r="G17">
        <v>1.6840595741261583E-2</v>
      </c>
      <c r="H17">
        <v>-2.0309498114409637E-3</v>
      </c>
      <c r="I17">
        <v>1.6840595741261583E-2</v>
      </c>
    </row>
    <row r="18" spans="1:9" ht="15" thickBot="1" x14ac:dyDescent="0.35">
      <c r="A18" s="79" t="s">
        <v>103</v>
      </c>
      <c r="B18" s="79">
        <v>1.2228627208664702</v>
      </c>
      <c r="C18" s="79">
        <v>8.8619092675046821E-2</v>
      </c>
      <c r="D18" s="79">
        <v>13.799088705980413</v>
      </c>
      <c r="E18" s="143">
        <v>2.6649318875667652E-26</v>
      </c>
      <c r="F18" s="79">
        <v>1.0473572515806717</v>
      </c>
      <c r="G18" s="79">
        <v>1.3983681901522687</v>
      </c>
      <c r="H18" s="79">
        <v>1.0473572515806717</v>
      </c>
      <c r="I18" s="79">
        <v>1.3983681901522687</v>
      </c>
    </row>
    <row r="22" spans="1:9" x14ac:dyDescent="0.3">
      <c r="A22" t="s">
        <v>104</v>
      </c>
      <c r="F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D24" s="141" t="s">
        <v>111</v>
      </c>
      <c r="E24" s="144" t="s">
        <v>143</v>
      </c>
      <c r="F24" s="141" t="s">
        <v>109</v>
      </c>
      <c r="G24" s="141" t="s">
        <v>110</v>
      </c>
    </row>
    <row r="25" spans="1:9" x14ac:dyDescent="0.3">
      <c r="A25">
        <v>1</v>
      </c>
      <c r="B25">
        <v>-2.2188996131820099E-2</v>
      </c>
      <c r="C25">
        <v>-9.026823055963272E-2</v>
      </c>
      <c r="D25">
        <f>AVERAGE(C25:C143)</f>
        <v>8.352912199451348E-18</v>
      </c>
      <c r="E25">
        <f>COVAR(C25:C143,C25:C143)</f>
        <v>2.4812132181138992E-3</v>
      </c>
      <c r="F25">
        <v>0.42016806722689076</v>
      </c>
      <c r="G25">
        <v>-0.18404440337292435</v>
      </c>
    </row>
    <row r="26" spans="1:9" x14ac:dyDescent="0.3">
      <c r="A26">
        <v>2</v>
      </c>
      <c r="B26">
        <v>8.3304114734809295E-2</v>
      </c>
      <c r="C26">
        <v>5.7921293345371175E-2</v>
      </c>
      <c r="F26">
        <v>1.2605042016806722</v>
      </c>
      <c r="G26">
        <v>-0.13992127534421572</v>
      </c>
    </row>
    <row r="27" spans="1:9" x14ac:dyDescent="0.3">
      <c r="A27">
        <v>3</v>
      </c>
      <c r="B27">
        <v>9.2290843783440941E-4</v>
      </c>
      <c r="C27">
        <v>7.5735134420821304E-2</v>
      </c>
      <c r="F27">
        <v>2.1008403361344539</v>
      </c>
      <c r="G27">
        <v>-0.12757278273694195</v>
      </c>
    </row>
    <row r="28" spans="1:9" x14ac:dyDescent="0.3">
      <c r="A28">
        <v>4</v>
      </c>
      <c r="B28">
        <v>6.484787013034865E-2</v>
      </c>
      <c r="C28">
        <v>-7.9876345526015052E-2</v>
      </c>
      <c r="F28">
        <v>2.9411764705882351</v>
      </c>
      <c r="G28">
        <v>-0.12081646500117851</v>
      </c>
    </row>
    <row r="29" spans="1:9" x14ac:dyDescent="0.3">
      <c r="A29">
        <v>5</v>
      </c>
      <c r="B29">
        <v>6.8023593797415016E-2</v>
      </c>
      <c r="C29">
        <v>2.8358310658018401E-2</v>
      </c>
      <c r="F29">
        <v>3.7815126050420167</v>
      </c>
      <c r="G29">
        <v>-0.11975611835073278</v>
      </c>
    </row>
    <row r="30" spans="1:9" x14ac:dyDescent="0.3">
      <c r="A30">
        <v>6</v>
      </c>
      <c r="B30">
        <v>4.7261491600130566E-2</v>
      </c>
      <c r="C30">
        <v>1.6579998635324465E-2</v>
      </c>
      <c r="F30">
        <v>4.6218487394957988</v>
      </c>
      <c r="G30">
        <v>-0.11679733880939518</v>
      </c>
    </row>
    <row r="31" spans="1:9" x14ac:dyDescent="0.3">
      <c r="A31">
        <v>7</v>
      </c>
      <c r="B31">
        <v>4.3931292972365935E-2</v>
      </c>
      <c r="C31">
        <v>-2.9139065290080764E-2</v>
      </c>
      <c r="F31">
        <v>5.46218487394958</v>
      </c>
      <c r="G31">
        <v>-0.11361644897448253</v>
      </c>
    </row>
    <row r="32" spans="1:9" x14ac:dyDescent="0.3">
      <c r="A32">
        <v>8</v>
      </c>
      <c r="B32">
        <v>-1.6453282508813092E-2</v>
      </c>
      <c r="C32">
        <v>-9.1243445953230348E-2</v>
      </c>
      <c r="F32">
        <v>6.302521008403362</v>
      </c>
      <c r="G32">
        <v>-0.11245722669145282</v>
      </c>
    </row>
    <row r="33" spans="1:7" x14ac:dyDescent="0.3">
      <c r="A33">
        <v>9</v>
      </c>
      <c r="B33">
        <v>6.7882757915630254E-2</v>
      </c>
      <c r="C33">
        <v>-1.6664133141395643E-2</v>
      </c>
      <c r="F33">
        <v>7.1428571428571432</v>
      </c>
      <c r="G33">
        <v>-0.10769672846204344</v>
      </c>
    </row>
    <row r="34" spans="1:7" x14ac:dyDescent="0.3">
      <c r="A34">
        <v>10</v>
      </c>
      <c r="B34">
        <v>-2.5799536084169968E-2</v>
      </c>
      <c r="C34">
        <v>5.1857355427720443E-2</v>
      </c>
      <c r="F34">
        <v>7.9831932773109244</v>
      </c>
      <c r="G34">
        <v>-0.10641942789336979</v>
      </c>
    </row>
    <row r="35" spans="1:7" x14ac:dyDescent="0.3">
      <c r="A35">
        <v>11</v>
      </c>
      <c r="B35">
        <v>2.7388460335787575E-3</v>
      </c>
      <c r="C35">
        <v>9.6657585979100805E-2</v>
      </c>
      <c r="F35">
        <v>8.8235294117647065</v>
      </c>
      <c r="G35">
        <v>-0.10090827994491836</v>
      </c>
    </row>
    <row r="36" spans="1:7" x14ac:dyDescent="0.3">
      <c r="A36">
        <v>12</v>
      </c>
      <c r="B36">
        <v>6.0251877652097732E-2</v>
      </c>
      <c r="C36">
        <v>1.2465706913417418E-2</v>
      </c>
      <c r="F36">
        <v>9.6638655462184886</v>
      </c>
      <c r="G36">
        <v>-9.7130923588707535E-2</v>
      </c>
    </row>
    <row r="37" spans="1:7" x14ac:dyDescent="0.3">
      <c r="A37">
        <v>13</v>
      </c>
      <c r="B37">
        <v>4.4272428044603726E-2</v>
      </c>
      <c r="C37">
        <v>-1.0870714682554676E-2</v>
      </c>
      <c r="F37">
        <v>10.504201680672269</v>
      </c>
      <c r="G37">
        <v>-8.1085144396396858E-2</v>
      </c>
    </row>
    <row r="38" spans="1:7" x14ac:dyDescent="0.3">
      <c r="A38">
        <v>14</v>
      </c>
      <c r="B38">
        <v>2.1070975012005763E-2</v>
      </c>
      <c r="C38">
        <v>7.6608223598783227E-3</v>
      </c>
      <c r="F38">
        <v>11.344537815126051</v>
      </c>
      <c r="G38">
        <v>-8.0080178012459077E-2</v>
      </c>
    </row>
    <row r="39" spans="1:7" x14ac:dyDescent="0.3">
      <c r="A39">
        <v>15</v>
      </c>
      <c r="B39">
        <v>6.7113843100242848E-2</v>
      </c>
      <c r="C39">
        <v>5.0616684313913446E-3</v>
      </c>
      <c r="F39">
        <v>12.184873949579833</v>
      </c>
      <c r="G39">
        <v>-7.5242121190364761E-2</v>
      </c>
    </row>
    <row r="40" spans="1:7" x14ac:dyDescent="0.3">
      <c r="A40">
        <v>16</v>
      </c>
      <c r="B40">
        <v>-2.5127572229927345E-3</v>
      </c>
      <c r="C40">
        <v>-9.6712492525654961E-3</v>
      </c>
      <c r="F40">
        <v>13.025210084033613</v>
      </c>
      <c r="G40">
        <v>-7.0403987140290489E-2</v>
      </c>
    </row>
    <row r="41" spans="1:7" x14ac:dyDescent="0.3">
      <c r="A41">
        <v>17</v>
      </c>
      <c r="B41">
        <v>4.0248434655238995E-2</v>
      </c>
      <c r="C41">
        <v>3.1711824250513575E-2</v>
      </c>
      <c r="F41">
        <v>13.865546218487395</v>
      </c>
      <c r="G41">
        <v>-6.7866384388986956E-2</v>
      </c>
    </row>
    <row r="42" spans="1:7" x14ac:dyDescent="0.3">
      <c r="A42">
        <v>18</v>
      </c>
      <c r="B42">
        <v>6.0216437783821797E-2</v>
      </c>
      <c r="C42">
        <v>4.0986955880259759E-2</v>
      </c>
      <c r="F42">
        <v>14.705882352941178</v>
      </c>
      <c r="G42">
        <v>-6.7553977460820494E-2</v>
      </c>
    </row>
    <row r="43" spans="1:7" x14ac:dyDescent="0.3">
      <c r="A43">
        <v>19</v>
      </c>
      <c r="B43">
        <v>-2.1211846879926891E-2</v>
      </c>
      <c r="C43">
        <v>-4.6654537509060068E-2</v>
      </c>
      <c r="F43">
        <v>15.546218487394958</v>
      </c>
      <c r="G43">
        <v>-6.6640293045440974E-2</v>
      </c>
    </row>
    <row r="44" spans="1:7" x14ac:dyDescent="0.3">
      <c r="A44">
        <v>20</v>
      </c>
      <c r="B44">
        <v>-1.7954222551672717E-2</v>
      </c>
      <c r="C44">
        <v>7.9378667983149298E-2</v>
      </c>
      <c r="F44">
        <v>16.386554621848738</v>
      </c>
      <c r="G44">
        <v>-6.0012123962493037E-2</v>
      </c>
    </row>
    <row r="45" spans="1:7" x14ac:dyDescent="0.3">
      <c r="A45">
        <v>21</v>
      </c>
      <c r="B45">
        <v>9.3550443302545735E-2</v>
      </c>
      <c r="C45">
        <v>2.8984143444482913E-3</v>
      </c>
      <c r="F45">
        <v>17.22689075630252</v>
      </c>
      <c r="G45">
        <v>-5.6553491888247646E-2</v>
      </c>
    </row>
    <row r="46" spans="1:7" x14ac:dyDescent="0.3">
      <c r="A46">
        <v>22</v>
      </c>
      <c r="B46">
        <v>-2.2055108293611021E-2</v>
      </c>
      <c r="C46">
        <v>-5.4936737198478559E-3</v>
      </c>
      <c r="F46">
        <v>18.067226890756302</v>
      </c>
      <c r="G46">
        <v>-5.5883128661130863E-2</v>
      </c>
    </row>
    <row r="47" spans="1:7" x14ac:dyDescent="0.3">
      <c r="A47">
        <v>23</v>
      </c>
      <c r="B47">
        <v>3.0136927541633041E-2</v>
      </c>
      <c r="C47">
        <v>-2.4350452324808557E-2</v>
      </c>
      <c r="F47">
        <v>18.907563025210084</v>
      </c>
      <c r="G47">
        <v>-5.5269639054168103E-2</v>
      </c>
    </row>
    <row r="48" spans="1:7" x14ac:dyDescent="0.3">
      <c r="A48">
        <v>24</v>
      </c>
      <c r="B48">
        <v>3.3445281878983643E-2</v>
      </c>
      <c r="C48">
        <v>7.5456090538210951E-3</v>
      </c>
      <c r="F48">
        <v>19.747899159663863</v>
      </c>
      <c r="G48">
        <v>-5.4210676384016991E-2</v>
      </c>
    </row>
    <row r="49" spans="1:7" x14ac:dyDescent="0.3">
      <c r="A49">
        <v>25</v>
      </c>
      <c r="B49">
        <v>-2.2836900741467873E-2</v>
      </c>
      <c r="C49">
        <v>-1.0369163062705099E-2</v>
      </c>
      <c r="F49">
        <v>20.588235294117645</v>
      </c>
      <c r="G49">
        <v>-5.3322329348839244E-2</v>
      </c>
    </row>
    <row r="50" spans="1:7" x14ac:dyDescent="0.3">
      <c r="A50">
        <v>26</v>
      </c>
      <c r="B50">
        <v>6.0847258130005334E-2</v>
      </c>
      <c r="C50">
        <v>-9.3773871503546075E-2</v>
      </c>
      <c r="F50">
        <v>21.428571428571427</v>
      </c>
      <c r="G50">
        <v>-5.2107200827231401E-2</v>
      </c>
    </row>
    <row r="51" spans="1:7" x14ac:dyDescent="0.3">
      <c r="A51">
        <v>27</v>
      </c>
      <c r="B51">
        <v>-7.6358537259231293E-2</v>
      </c>
      <c r="C51">
        <v>5.9545501189408045E-3</v>
      </c>
      <c r="F51">
        <v>22.268907563025209</v>
      </c>
      <c r="G51">
        <v>-3.683087310247108E-2</v>
      </c>
    </row>
    <row r="52" spans="1:7" x14ac:dyDescent="0.3">
      <c r="A52">
        <v>28</v>
      </c>
      <c r="B52">
        <v>-1.9349183932378184E-2</v>
      </c>
      <c r="C52">
        <v>1.9608070001139073E-3</v>
      </c>
      <c r="F52">
        <v>23.109243697478991</v>
      </c>
      <c r="G52">
        <v>-3.4629004467020254E-2</v>
      </c>
    </row>
    <row r="53" spans="1:7" x14ac:dyDescent="0.3">
      <c r="A53">
        <v>29</v>
      </c>
      <c r="B53">
        <v>0.14421666257070453</v>
      </c>
      <c r="C53">
        <v>-6.0808025908390323E-2</v>
      </c>
      <c r="F53">
        <v>23.949579831932773</v>
      </c>
      <c r="G53">
        <v>-3.3206063804172972E-2</v>
      </c>
    </row>
    <row r="54" spans="1:7" x14ac:dyDescent="0.3">
      <c r="A54">
        <v>30</v>
      </c>
      <c r="B54">
        <v>1.1529324314347961E-2</v>
      </c>
      <c r="C54">
        <v>-2.1571276845619838E-2</v>
      </c>
      <c r="F54">
        <v>24.789915966386552</v>
      </c>
      <c r="G54">
        <v>-3.2926613373540747E-2</v>
      </c>
    </row>
    <row r="55" spans="1:7" x14ac:dyDescent="0.3">
      <c r="A55">
        <v>31</v>
      </c>
      <c r="B55">
        <v>-1.1271615502942228E-2</v>
      </c>
      <c r="C55">
        <v>-9.5147812390427564E-2</v>
      </c>
      <c r="F55">
        <v>25.630252100840334</v>
      </c>
      <c r="G55">
        <v>-3.2551725328220558E-2</v>
      </c>
    </row>
    <row r="56" spans="1:7" x14ac:dyDescent="0.3">
      <c r="A56">
        <v>32</v>
      </c>
      <c r="B56">
        <v>-7.6217802918665534E-2</v>
      </c>
      <c r="C56">
        <v>9.7568172830077293E-4</v>
      </c>
      <c r="F56">
        <v>26.470588235294116</v>
      </c>
      <c r="G56">
        <v>-3.0477506508413001E-2</v>
      </c>
    </row>
    <row r="57" spans="1:7" x14ac:dyDescent="0.3">
      <c r="A57">
        <v>33</v>
      </c>
      <c r="B57">
        <v>-1.4899548828016456E-2</v>
      </c>
      <c r="C57">
        <v>8.221923841536782E-3</v>
      </c>
      <c r="F57">
        <v>27.310924369747898</v>
      </c>
      <c r="G57">
        <v>-2.7548782013458877E-2</v>
      </c>
    </row>
    <row r="58" spans="1:7" x14ac:dyDescent="0.3">
      <c r="A58">
        <v>34</v>
      </c>
      <c r="B58">
        <v>8.9646623061781616E-2</v>
      </c>
      <c r="C58">
        <v>4.3680528086355613E-2</v>
      </c>
      <c r="F58">
        <v>28.15126050420168</v>
      </c>
      <c r="G58">
        <v>-2.6598887211956707E-2</v>
      </c>
    </row>
    <row r="59" spans="1:7" x14ac:dyDescent="0.3">
      <c r="A59">
        <v>35</v>
      </c>
      <c r="B59">
        <v>-3.1422197841830271E-2</v>
      </c>
      <c r="C59">
        <v>-0.10849907750238545</v>
      </c>
      <c r="F59">
        <v>28.991596638655462</v>
      </c>
      <c r="G59">
        <v>-2.0183966038882315E-2</v>
      </c>
    </row>
    <row r="60" spans="1:7" x14ac:dyDescent="0.3">
      <c r="A60">
        <v>36</v>
      </c>
      <c r="B60">
        <v>5.8837094455644667E-2</v>
      </c>
      <c r="C60">
        <v>6.4499941951124545E-3</v>
      </c>
      <c r="F60">
        <v>29.831932773109244</v>
      </c>
      <c r="G60">
        <v>-1.7388376932264277E-2</v>
      </c>
    </row>
    <row r="61" spans="1:7" x14ac:dyDescent="0.3">
      <c r="A61">
        <v>37</v>
      </c>
      <c r="B61">
        <v>-2.129961447062962E-2</v>
      </c>
      <c r="C61">
        <v>-1.553125863184146E-2</v>
      </c>
      <c r="F61">
        <v>30.672268907563023</v>
      </c>
      <c r="G61">
        <v>-1.5712011969397005E-2</v>
      </c>
    </row>
    <row r="62" spans="1:7" x14ac:dyDescent="0.3">
      <c r="A62">
        <v>38</v>
      </c>
      <c r="B62">
        <v>9.3916131194805463E-2</v>
      </c>
      <c r="C62">
        <v>-3.8535227563366165E-3</v>
      </c>
      <c r="F62">
        <v>31.512605042016805</v>
      </c>
      <c r="G62">
        <v>-1.5028475395666409E-2</v>
      </c>
    </row>
    <row r="63" spans="1:7" x14ac:dyDescent="0.3">
      <c r="A63">
        <v>39</v>
      </c>
      <c r="B63">
        <v>1.7957595763663989E-2</v>
      </c>
      <c r="C63">
        <v>1.7901850530422161E-4</v>
      </c>
      <c r="F63">
        <v>32.352941176470587</v>
      </c>
      <c r="G63">
        <v>-1.501941591527115E-2</v>
      </c>
    </row>
    <row r="64" spans="1:7" x14ac:dyDescent="0.3">
      <c r="A64">
        <v>40</v>
      </c>
      <c r="B64">
        <v>3.4227653554736281E-2</v>
      </c>
      <c r="C64">
        <v>3.7048552635699936E-2</v>
      </c>
      <c r="F64">
        <v>33.193277310924366</v>
      </c>
      <c r="G64">
        <v>-1.2184006475558231E-2</v>
      </c>
    </row>
    <row r="65" spans="1:7" x14ac:dyDescent="0.3">
      <c r="A65">
        <v>41</v>
      </c>
      <c r="B65">
        <v>-1.1262831459044182E-2</v>
      </c>
      <c r="C65">
        <v>1.5597188912873886E-2</v>
      </c>
      <c r="F65">
        <v>34.033613445378151</v>
      </c>
      <c r="G65">
        <v>-1.1705947534826119E-2</v>
      </c>
    </row>
    <row r="66" spans="1:7" x14ac:dyDescent="0.3">
      <c r="A66">
        <v>42</v>
      </c>
      <c r="B66">
        <v>9.834629661912583E-3</v>
      </c>
      <c r="C66">
        <v>-3.6433516873869289E-2</v>
      </c>
      <c r="F66">
        <v>34.87394957983193</v>
      </c>
      <c r="G66">
        <v>-1.0636350242902125E-2</v>
      </c>
    </row>
    <row r="67" spans="1:7" x14ac:dyDescent="0.3">
      <c r="A67">
        <v>43</v>
      </c>
      <c r="B67">
        <v>2.0828643573703981E-2</v>
      </c>
      <c r="C67">
        <v>3.2507269091439403E-2</v>
      </c>
      <c r="F67">
        <v>35.714285714285715</v>
      </c>
      <c r="G67">
        <v>-1.0041952531271879E-2</v>
      </c>
    </row>
    <row r="68" spans="1:7" x14ac:dyDescent="0.3">
      <c r="A68">
        <v>44</v>
      </c>
      <c r="B68">
        <v>7.1054444383248358E-2</v>
      </c>
      <c r="C68">
        <v>-2.3307969060256298E-2</v>
      </c>
      <c r="F68">
        <v>36.554621848739494</v>
      </c>
      <c r="G68">
        <v>-6.677624986479674E-3</v>
      </c>
    </row>
    <row r="69" spans="1:7" x14ac:dyDescent="0.3">
      <c r="A69">
        <v>45</v>
      </c>
      <c r="B69">
        <v>5.8439001183745357E-2</v>
      </c>
      <c r="C69">
        <v>7.044465717221092E-2</v>
      </c>
      <c r="F69">
        <v>37.394957983193279</v>
      </c>
      <c r="G69">
        <v>-5.5984293609750877E-3</v>
      </c>
    </row>
    <row r="70" spans="1:7" x14ac:dyDescent="0.3">
      <c r="A70">
        <v>46</v>
      </c>
      <c r="B70">
        <v>3.170463317375985E-2</v>
      </c>
      <c r="C70">
        <v>2.1531693591814532E-2</v>
      </c>
      <c r="F70">
        <v>38.235294117647058</v>
      </c>
      <c r="G70">
        <v>-5.5014607901128281E-3</v>
      </c>
    </row>
    <row r="71" spans="1:7" x14ac:dyDescent="0.3">
      <c r="A71">
        <v>47</v>
      </c>
      <c r="B71">
        <v>4.0539447693461711E-2</v>
      </c>
      <c r="C71">
        <v>-4.0609169595638976E-2</v>
      </c>
      <c r="F71">
        <v>39.075630252100837</v>
      </c>
      <c r="G71">
        <v>-4.824871721254312E-3</v>
      </c>
    </row>
    <row r="72" spans="1:7" x14ac:dyDescent="0.3">
      <c r="A72">
        <v>48</v>
      </c>
      <c r="B72">
        <v>5.2361519684584884E-2</v>
      </c>
      <c r="C72">
        <v>1.1056218044513524E-2</v>
      </c>
      <c r="F72">
        <v>39.915966386554622</v>
      </c>
      <c r="G72">
        <v>-6.9721902177263687E-5</v>
      </c>
    </row>
    <row r="73" spans="1:7" x14ac:dyDescent="0.3">
      <c r="A73">
        <v>49</v>
      </c>
      <c r="B73">
        <v>-2.256678179014417E-2</v>
      </c>
      <c r="C73">
        <v>-3.0755547558695074E-2</v>
      </c>
      <c r="F73">
        <v>40.756302521008401</v>
      </c>
      <c r="G73">
        <v>1.8800061326866998E-3</v>
      </c>
    </row>
    <row r="74" spans="1:7" x14ac:dyDescent="0.3">
      <c r="A74">
        <v>50</v>
      </c>
      <c r="B74">
        <v>5.7950710348936729E-2</v>
      </c>
      <c r="C74">
        <v>-2.5247020377507937E-2</v>
      </c>
      <c r="F74">
        <v>41.596638655462186</v>
      </c>
      <c r="G74">
        <v>4.3343574538297035E-3</v>
      </c>
    </row>
    <row r="75" spans="1:7" x14ac:dyDescent="0.3">
      <c r="A75">
        <v>51</v>
      </c>
      <c r="B75">
        <v>2.9920458905282284E-2</v>
      </c>
      <c r="C75">
        <v>7.2748827937056698E-2</v>
      </c>
      <c r="F75">
        <v>42.436974789915965</v>
      </c>
      <c r="G75">
        <v>5.7864752168244847E-3</v>
      </c>
    </row>
    <row r="76" spans="1:7" x14ac:dyDescent="0.3">
      <c r="A76">
        <v>52</v>
      </c>
      <c r="B76">
        <v>5.5057177622380533E-3</v>
      </c>
      <c r="C76">
        <v>-6.2059209650485697E-2</v>
      </c>
      <c r="F76">
        <v>43.27731092436975</v>
      </c>
      <c r="G76">
        <v>8.8449201921307341E-3</v>
      </c>
    </row>
    <row r="77" spans="1:7" x14ac:dyDescent="0.3">
      <c r="A77">
        <v>53</v>
      </c>
      <c r="B77">
        <v>6.2472863967352882E-2</v>
      </c>
      <c r="C77">
        <v>3.4334706885251962E-2</v>
      </c>
      <c r="F77">
        <v>44.117647058823529</v>
      </c>
      <c r="G77">
        <v>1.4792227682285173E-2</v>
      </c>
    </row>
    <row r="78" spans="1:7" x14ac:dyDescent="0.3">
      <c r="A78">
        <v>54</v>
      </c>
      <c r="B78">
        <v>3.0302088413339763E-2</v>
      </c>
      <c r="C78">
        <v>-1.3678589131323218E-2</v>
      </c>
      <c r="F78">
        <v>44.957983193277308</v>
      </c>
      <c r="G78">
        <v>1.6623499282016545E-2</v>
      </c>
    </row>
    <row r="79" spans="1:7" x14ac:dyDescent="0.3">
      <c r="A79">
        <v>55</v>
      </c>
      <c r="B79">
        <v>1.3333189940317479E-2</v>
      </c>
      <c r="C79">
        <v>-2.5039137475143598E-2</v>
      </c>
      <c r="F79">
        <v>45.798319327731093</v>
      </c>
      <c r="G79">
        <v>1.8136614268968211E-2</v>
      </c>
    </row>
    <row r="80" spans="1:7" x14ac:dyDescent="0.3">
      <c r="A80">
        <v>56</v>
      </c>
      <c r="B80">
        <v>0.11323597635665926</v>
      </c>
      <c r="C80">
        <v>-0.12387232659956138</v>
      </c>
      <c r="F80">
        <v>46.638655462184872</v>
      </c>
      <c r="G80">
        <v>2.1623158899613696E-2</v>
      </c>
    </row>
    <row r="81" spans="1:7" x14ac:dyDescent="0.3">
      <c r="A81">
        <v>57</v>
      </c>
      <c r="B81">
        <v>-9.410937609060227E-3</v>
      </c>
      <c r="C81">
        <v>7.3258662527259308E-2</v>
      </c>
      <c r="F81">
        <v>47.478991596638657</v>
      </c>
      <c r="G81">
        <v>2.6057819343550476E-2</v>
      </c>
    </row>
    <row r="82" spans="1:7" x14ac:dyDescent="0.3">
      <c r="A82">
        <v>58</v>
      </c>
      <c r="B82">
        <v>-4.1351483838617295E-2</v>
      </c>
      <c r="C82">
        <v>-1.2859192545399696E-2</v>
      </c>
      <c r="F82">
        <v>48.319327731092436</v>
      </c>
      <c r="G82">
        <v>2.7983192797253739E-2</v>
      </c>
    </row>
    <row r="83" spans="1:7" x14ac:dyDescent="0.3">
      <c r="A83">
        <v>59</v>
      </c>
      <c r="B83">
        <v>1.1946093731542283E-2</v>
      </c>
      <c r="C83">
        <v>-2.6965509646813435E-2</v>
      </c>
      <c r="F83">
        <v>49.159663865546214</v>
      </c>
      <c r="G83">
        <v>2.8731797371884086E-2</v>
      </c>
    </row>
    <row r="84" spans="1:7" x14ac:dyDescent="0.3">
      <c r="A84">
        <v>60</v>
      </c>
      <c r="B84">
        <v>7.4450084093859253E-2</v>
      </c>
      <c r="C84">
        <v>5.6313587755900063E-2</v>
      </c>
      <c r="F84">
        <v>50</v>
      </c>
      <c r="G84">
        <v>3.2703689971428793E-2</v>
      </c>
    </row>
    <row r="85" spans="1:7" x14ac:dyDescent="0.3">
      <c r="A85">
        <v>61</v>
      </c>
      <c r="B85">
        <v>2.0228851058596113E-2</v>
      </c>
      <c r="C85">
        <v>-2.5827280419571202E-2</v>
      </c>
      <c r="F85">
        <v>50.840336134453779</v>
      </c>
      <c r="G85">
        <v>3.340171336204905E-2</v>
      </c>
    </row>
    <row r="86" spans="1:7" x14ac:dyDescent="0.3">
      <c r="A86">
        <v>62</v>
      </c>
      <c r="B86">
        <v>4.0609446793328896E-2</v>
      </c>
      <c r="C86">
        <v>-1.2626253996075157E-2</v>
      </c>
      <c r="F86">
        <v>51.680672268907564</v>
      </c>
      <c r="G86">
        <v>4.0314879886363342E-2</v>
      </c>
    </row>
    <row r="87" spans="1:7" x14ac:dyDescent="0.3">
      <c r="A87">
        <v>63</v>
      </c>
      <c r="B87">
        <v>7.8857576897391216E-2</v>
      </c>
      <c r="C87">
        <v>0.11736912457226141</v>
      </c>
      <c r="F87">
        <v>52.521008403361343</v>
      </c>
      <c r="G87">
        <v>4.0929549680730301E-2</v>
      </c>
    </row>
    <row r="88" spans="1:7" x14ac:dyDescent="0.3">
      <c r="A88">
        <v>64</v>
      </c>
      <c r="B88">
        <v>3.107393408421308E-3</v>
      </c>
      <c r="C88">
        <v>-7.93226512967562E-3</v>
      </c>
      <c r="F88">
        <v>53.361344537815128</v>
      </c>
      <c r="G88">
        <v>4.0990890932804738E-2</v>
      </c>
    </row>
    <row r="89" spans="1:7" x14ac:dyDescent="0.3">
      <c r="A89">
        <v>65</v>
      </c>
      <c r="B89">
        <v>-9.8494338764504585E-2</v>
      </c>
      <c r="C89">
        <v>6.8016832256091592E-2</v>
      </c>
      <c r="F89">
        <v>54.201680672268907</v>
      </c>
      <c r="G89">
        <v>4.774647532299206E-2</v>
      </c>
    </row>
    <row r="90" spans="1:7" x14ac:dyDescent="0.3">
      <c r="A90">
        <v>66</v>
      </c>
      <c r="B90">
        <v>4.2296148726298222E-3</v>
      </c>
      <c r="C90">
        <v>-0.18827401824555418</v>
      </c>
      <c r="F90">
        <v>55.042016806722685</v>
      </c>
      <c r="G90">
        <v>5.1218624774234611E-2</v>
      </c>
    </row>
    <row r="91" spans="1:7" x14ac:dyDescent="0.3">
      <c r="A91">
        <v>67</v>
      </c>
      <c r="B91">
        <v>-0.10153161764331232</v>
      </c>
      <c r="C91">
        <v>-1.2084831331170207E-2</v>
      </c>
      <c r="F91">
        <v>55.882352941176471</v>
      </c>
      <c r="G91">
        <v>5.3236326765574382E-2</v>
      </c>
    </row>
    <row r="92" spans="1:7" x14ac:dyDescent="0.3">
      <c r="A92">
        <v>68</v>
      </c>
      <c r="B92">
        <v>0.11884805889555067</v>
      </c>
      <c r="C92">
        <v>-6.3694196842436601E-2</v>
      </c>
      <c r="F92">
        <v>56.72268907563025</v>
      </c>
      <c r="G92">
        <v>5.3335912665143384E-2</v>
      </c>
    </row>
    <row r="93" spans="1:7" x14ac:dyDescent="0.3">
      <c r="A93">
        <v>69</v>
      </c>
      <c r="B93">
        <v>4.1166662729545611E-2</v>
      </c>
      <c r="C93">
        <v>-8.5178284318226938E-4</v>
      </c>
      <c r="F93">
        <v>57.563025210084035</v>
      </c>
      <c r="G93">
        <v>5.4010016108831133E-2</v>
      </c>
    </row>
    <row r="94" spans="1:7" x14ac:dyDescent="0.3">
      <c r="A94">
        <v>70</v>
      </c>
      <c r="B94">
        <v>5.5860864631134259E-2</v>
      </c>
      <c r="C94">
        <v>4.5869869200307521E-2</v>
      </c>
      <c r="F94">
        <v>58.403361344537814</v>
      </c>
      <c r="G94">
        <v>5.515386205311406E-2</v>
      </c>
    </row>
    <row r="95" spans="1:7" x14ac:dyDescent="0.3">
      <c r="A95">
        <v>71</v>
      </c>
      <c r="B95">
        <v>7.4141489859539764E-2</v>
      </c>
      <c r="C95">
        <v>-1.7705534617757236E-2</v>
      </c>
      <c r="F95">
        <v>59.243697478991599</v>
      </c>
      <c r="G95">
        <v>5.6435955241782527E-2</v>
      </c>
    </row>
    <row r="96" spans="1:7" x14ac:dyDescent="0.3">
      <c r="A96">
        <v>72</v>
      </c>
      <c r="B96">
        <v>-9.5293230111435562E-2</v>
      </c>
      <c r="C96">
        <v>-3.2279552625506386E-2</v>
      </c>
      <c r="F96">
        <v>60.084033613445378</v>
      </c>
      <c r="G96">
        <v>5.8657286547291611E-2</v>
      </c>
    </row>
    <row r="97" spans="1:7" x14ac:dyDescent="0.3">
      <c r="A97">
        <v>73</v>
      </c>
      <c r="B97">
        <v>0.10058174141925566</v>
      </c>
      <c r="C97">
        <v>3.4291053735115262E-2</v>
      </c>
      <c r="F97">
        <v>60.924369747899156</v>
      </c>
      <c r="G97">
        <v>5.8820799190731479E-2</v>
      </c>
    </row>
    <row r="98" spans="1:7" x14ac:dyDescent="0.3">
      <c r="A98">
        <v>74</v>
      </c>
      <c r="B98">
        <v>3.5732300320074295E-2</v>
      </c>
      <c r="C98">
        <v>4.0662245617789014E-2</v>
      </c>
      <c r="F98">
        <v>61.764705882352942</v>
      </c>
      <c r="G98">
        <v>6.1424445431476585E-2</v>
      </c>
    </row>
    <row r="99" spans="1:7" x14ac:dyDescent="0.3">
      <c r="A99">
        <v>75</v>
      </c>
      <c r="B99">
        <v>-1.71777264845678E-2</v>
      </c>
      <c r="C99">
        <v>-3.0062395543145153E-3</v>
      </c>
      <c r="F99">
        <v>62.605042016806721</v>
      </c>
      <c r="G99">
        <v>6.3417737729098408E-2</v>
      </c>
    </row>
    <row r="100" spans="1:7" x14ac:dyDescent="0.3">
      <c r="A100">
        <v>76</v>
      </c>
      <c r="B100">
        <v>1.6698356249642561E-2</v>
      </c>
      <c r="C100">
        <v>6.0339855486162212E-2</v>
      </c>
      <c r="F100">
        <v>63.445378151260506</v>
      </c>
      <c r="G100">
        <v>6.3841490235455031E-2</v>
      </c>
    </row>
    <row r="101" spans="1:7" x14ac:dyDescent="0.3">
      <c r="A101">
        <v>77</v>
      </c>
      <c r="B101">
        <v>6.0169946069026467E-2</v>
      </c>
      <c r="C101">
        <v>5.0514502364811378E-2</v>
      </c>
      <c r="F101">
        <v>64.285714285714292</v>
      </c>
      <c r="G101">
        <v>6.3847724918199081E-2</v>
      </c>
    </row>
    <row r="102" spans="1:7" x14ac:dyDescent="0.3">
      <c r="A102">
        <v>78</v>
      </c>
      <c r="B102">
        <v>5.5789333843873315E-2</v>
      </c>
      <c r="C102">
        <v>1.8539274727545976E-2</v>
      </c>
      <c r="F102">
        <v>65.12605042016807</v>
      </c>
      <c r="G102">
        <v>6.4982484952681815E-2</v>
      </c>
    </row>
    <row r="103" spans="1:7" x14ac:dyDescent="0.3">
      <c r="A103">
        <v>79</v>
      </c>
      <c r="B103">
        <v>5.5336149582532718E-2</v>
      </c>
      <c r="C103">
        <v>4.6746537449980197E-2</v>
      </c>
      <c r="F103">
        <v>65.966386554621849</v>
      </c>
      <c r="G103">
        <v>6.5287088650757122E-2</v>
      </c>
    </row>
    <row r="104" spans="1:7" x14ac:dyDescent="0.3">
      <c r="A104">
        <v>80</v>
      </c>
      <c r="B104">
        <v>4.3593237960764954E-2</v>
      </c>
      <c r="C104">
        <v>1.0416778148066179E-2</v>
      </c>
      <c r="F104">
        <v>66.806722689075642</v>
      </c>
      <c r="G104">
        <v>7.1276206190436217E-2</v>
      </c>
    </row>
    <row r="105" spans="1:7" x14ac:dyDescent="0.3">
      <c r="A105">
        <v>81</v>
      </c>
      <c r="B105">
        <v>-6.4632639186847196E-2</v>
      </c>
      <c r="C105">
        <v>-5.216469962254798E-2</v>
      </c>
      <c r="F105">
        <v>67.64705882352942</v>
      </c>
      <c r="G105">
        <v>7.1960258905752569E-2</v>
      </c>
    </row>
    <row r="106" spans="1:7" x14ac:dyDescent="0.3">
      <c r="A106">
        <v>82</v>
      </c>
      <c r="B106">
        <v>-8.6288701473013388E-2</v>
      </c>
      <c r="C106">
        <v>1.8734724012192894E-2</v>
      </c>
      <c r="F106">
        <v>68.487394957983199</v>
      </c>
      <c r="G106">
        <v>7.2175511531634193E-2</v>
      </c>
    </row>
    <row r="107" spans="1:7" x14ac:dyDescent="0.3">
      <c r="A107">
        <v>83</v>
      </c>
      <c r="B107">
        <v>0.19317944280823685</v>
      </c>
      <c r="C107">
        <v>-3.7805634928090581E-2</v>
      </c>
      <c r="F107">
        <v>69.327731092436977</v>
      </c>
      <c r="G107">
        <v>7.271758456551515E-2</v>
      </c>
    </row>
    <row r="108" spans="1:7" x14ac:dyDescent="0.3">
      <c r="A108">
        <v>84</v>
      </c>
      <c r="B108">
        <v>8.2813205931238809E-2</v>
      </c>
      <c r="C108">
        <v>-6.4835040812863398E-4</v>
      </c>
      <c r="F108">
        <v>70.16806722689077</v>
      </c>
      <c r="G108">
        <v>7.4328608571419291E-2</v>
      </c>
    </row>
    <row r="109" spans="1:7" x14ac:dyDescent="0.3">
      <c r="A109">
        <v>85</v>
      </c>
      <c r="B109">
        <v>8.4358270688091333E-2</v>
      </c>
      <c r="C109">
        <v>6.6133842750451935E-2</v>
      </c>
      <c r="F109">
        <v>71.008403361344548</v>
      </c>
      <c r="G109">
        <v>7.5796547320767529E-2</v>
      </c>
    </row>
    <row r="110" spans="1:7" x14ac:dyDescent="0.3">
      <c r="A110">
        <v>86</v>
      </c>
      <c r="B110">
        <v>9.7586447596170287E-2</v>
      </c>
      <c r="C110">
        <v>6.754525797868359E-2</v>
      </c>
      <c r="F110">
        <v>71.848739495798327</v>
      </c>
      <c r="G110">
        <v>7.6217805671320277E-2</v>
      </c>
    </row>
    <row r="111" spans="1:7" x14ac:dyDescent="0.3">
      <c r="A111">
        <v>87</v>
      </c>
      <c r="B111">
        <v>0.14249982315688237</v>
      </c>
      <c r="C111">
        <v>7.1880050261617034E-2</v>
      </c>
      <c r="F111">
        <v>72.689075630252105</v>
      </c>
      <c r="G111">
        <v>7.6394545937863309E-2</v>
      </c>
    </row>
    <row r="112" spans="1:7" x14ac:dyDescent="0.3">
      <c r="A112">
        <v>88</v>
      </c>
      <c r="B112">
        <v>-6.2533693027736009E-2</v>
      </c>
      <c r="C112">
        <v>-3.8374586917182346E-2</v>
      </c>
      <c r="F112">
        <v>73.529411764705884</v>
      </c>
      <c r="G112">
        <v>7.6658042858655712E-2</v>
      </c>
    </row>
    <row r="113" spans="1:7" x14ac:dyDescent="0.3">
      <c r="A113">
        <v>89</v>
      </c>
      <c r="B113">
        <v>-3.1698024676508715E-2</v>
      </c>
      <c r="C113">
        <v>-2.8314099285984322E-2</v>
      </c>
      <c r="F113">
        <v>74.369747899159677</v>
      </c>
      <c r="G113">
        <v>7.7038211735804774E-2</v>
      </c>
    </row>
    <row r="114" spans="1:7" x14ac:dyDescent="0.3">
      <c r="A114">
        <v>90</v>
      </c>
      <c r="B114">
        <v>0.14186944852973066</v>
      </c>
      <c r="C114">
        <v>-4.8262902182581544E-2</v>
      </c>
      <c r="F114">
        <v>75.210084033613455</v>
      </c>
      <c r="G114">
        <v>8.2164855523110175E-2</v>
      </c>
    </row>
    <row r="115" spans="1:7" x14ac:dyDescent="0.3">
      <c r="A115">
        <v>91</v>
      </c>
      <c r="B115">
        <v>6.9200236205835208E-2</v>
      </c>
      <c r="C115">
        <v>4.7296244581624708E-2</v>
      </c>
      <c r="F115">
        <v>76.050420168067234</v>
      </c>
      <c r="G115">
        <v>8.3408636662314212E-2</v>
      </c>
    </row>
    <row r="116" spans="1:7" x14ac:dyDescent="0.3">
      <c r="A116">
        <v>92</v>
      </c>
      <c r="B116">
        <v>1.0924899271966338E-2</v>
      </c>
      <c r="C116">
        <v>-1.6426360062079166E-2</v>
      </c>
      <c r="F116">
        <v>76.890756302521012</v>
      </c>
      <c r="G116">
        <v>9.0062608438468847E-2</v>
      </c>
    </row>
    <row r="117" spans="1:7" x14ac:dyDescent="0.3">
      <c r="A117">
        <v>93</v>
      </c>
      <c r="B117">
        <v>5.8968005283442787E-3</v>
      </c>
      <c r="C117">
        <v>-8.6981944924741136E-2</v>
      </c>
      <c r="F117">
        <v>77.731092436974791</v>
      </c>
      <c r="G117">
        <v>9.3606546347149114E-2</v>
      </c>
    </row>
    <row r="118" spans="1:7" x14ac:dyDescent="0.3">
      <c r="A118">
        <v>94</v>
      </c>
      <c r="B118">
        <v>2.4644998199809906E-2</v>
      </c>
      <c r="C118">
        <v>-1.5800078007679172E-2</v>
      </c>
      <c r="F118">
        <v>78.571428571428584</v>
      </c>
      <c r="G118">
        <v>9.6381904455433418E-2</v>
      </c>
    </row>
    <row r="119" spans="1:7" x14ac:dyDescent="0.3">
      <c r="A119">
        <v>95</v>
      </c>
      <c r="B119">
        <v>7.9266429139300265E-2</v>
      </c>
      <c r="C119">
        <v>-3.0486234679799884E-3</v>
      </c>
      <c r="F119">
        <v>79.411764705882362</v>
      </c>
      <c r="G119">
        <v>9.6448857646994027E-2</v>
      </c>
    </row>
    <row r="120" spans="1:7" x14ac:dyDescent="0.3">
      <c r="A120">
        <v>96</v>
      </c>
      <c r="B120">
        <v>-7.9683479657099762E-3</v>
      </c>
      <c r="C120">
        <v>-4.4138852861521423E-2</v>
      </c>
      <c r="F120">
        <v>80.252100840336141</v>
      </c>
      <c r="G120">
        <v>9.6807570852604843E-2</v>
      </c>
    </row>
    <row r="121" spans="1:7" x14ac:dyDescent="0.3">
      <c r="A121">
        <v>97</v>
      </c>
      <c r="B121">
        <v>8.498482968294982E-2</v>
      </c>
      <c r="C121">
        <v>1.599134724867031E-2</v>
      </c>
      <c r="F121">
        <v>81.092436974789919</v>
      </c>
      <c r="G121">
        <v>9.9396432012679559E-2</v>
      </c>
    </row>
    <row r="122" spans="1:7" x14ac:dyDescent="0.3">
      <c r="A122">
        <v>98</v>
      </c>
      <c r="B122">
        <v>4.144049583279704E-2</v>
      </c>
      <c r="C122">
        <v>2.3541989119884775E-2</v>
      </c>
      <c r="F122">
        <v>81.932773109243698</v>
      </c>
      <c r="G122">
        <v>0.10097617693162013</v>
      </c>
    </row>
    <row r="123" spans="1:7" x14ac:dyDescent="0.3">
      <c r="A123">
        <v>99</v>
      </c>
      <c r="B123">
        <v>5.8298597284926271E-2</v>
      </c>
      <c r="C123">
        <v>-1.736904760419597E-2</v>
      </c>
      <c r="F123">
        <v>82.77310924369749</v>
      </c>
      <c r="G123">
        <v>0.10120339366408156</v>
      </c>
    </row>
    <row r="124" spans="1:7" x14ac:dyDescent="0.3">
      <c r="A124">
        <v>100</v>
      </c>
      <c r="B124">
        <v>-6.266614005749449E-2</v>
      </c>
      <c r="C124">
        <v>-3.9741529879464832E-3</v>
      </c>
      <c r="F124">
        <v>83.613445378151269</v>
      </c>
      <c r="G124">
        <v>0.10173073383144178</v>
      </c>
    </row>
    <row r="125" spans="1:7" x14ac:dyDescent="0.3">
      <c r="A125">
        <v>101</v>
      </c>
      <c r="B125">
        <v>0.10404174762973219</v>
      </c>
      <c r="C125">
        <v>-4.5384461082440576E-2</v>
      </c>
      <c r="F125">
        <v>84.453781512605048</v>
      </c>
      <c r="G125">
        <v>0.10208268703251291</v>
      </c>
    </row>
    <row r="126" spans="1:7" x14ac:dyDescent="0.3">
      <c r="A126">
        <v>102</v>
      </c>
      <c r="B126">
        <v>2.9427287165763483E-2</v>
      </c>
      <c r="C126">
        <v>7.4043882094537342E-2</v>
      </c>
      <c r="F126">
        <v>85.294117647058826</v>
      </c>
      <c r="G126">
        <v>0.10266928684233899</v>
      </c>
    </row>
    <row r="127" spans="1:7" x14ac:dyDescent="0.3">
      <c r="A127">
        <v>103</v>
      </c>
      <c r="B127">
        <v>2.1361423551054047E-2</v>
      </c>
      <c r="C127">
        <v>5.4435123769713482E-2</v>
      </c>
      <c r="F127">
        <v>86.134453781512619</v>
      </c>
      <c r="G127">
        <v>0.10347116926030082</v>
      </c>
    </row>
    <row r="128" spans="1:7" x14ac:dyDescent="0.3">
      <c r="A128">
        <v>104</v>
      </c>
      <c r="B128">
        <v>-9.6750070491706364E-2</v>
      </c>
      <c r="C128">
        <v>8.1038058522309359E-2</v>
      </c>
      <c r="F128">
        <v>86.974789915966397</v>
      </c>
      <c r="G128">
        <v>0.10955152668895085</v>
      </c>
    </row>
    <row r="129" spans="1:7" x14ac:dyDescent="0.3">
      <c r="A129">
        <v>105</v>
      </c>
      <c r="B129">
        <v>-4.9293901307385896E-2</v>
      </c>
      <c r="C129">
        <v>-5.9757377467822073E-3</v>
      </c>
      <c r="F129">
        <v>87.815126050420176</v>
      </c>
      <c r="G129">
        <v>0.11052102844883555</v>
      </c>
    </row>
    <row r="130" spans="1:7" x14ac:dyDescent="0.3">
      <c r="A130">
        <v>106</v>
      </c>
      <c r="B130">
        <v>5.8996325684448223E-2</v>
      </c>
      <c r="C130">
        <v>-1.7552649371674334E-4</v>
      </c>
      <c r="F130">
        <v>88.655462184873954</v>
      </c>
      <c r="G130">
        <v>0.11068444843383785</v>
      </c>
    </row>
    <row r="131" spans="1:7" x14ac:dyDescent="0.3">
      <c r="A131">
        <v>107</v>
      </c>
      <c r="B131">
        <v>-0.1560741453876402</v>
      </c>
      <c r="C131">
        <v>5.894322179893266E-2</v>
      </c>
      <c r="F131">
        <v>89.495798319327733</v>
      </c>
      <c r="G131">
        <v>0.11649648078745992</v>
      </c>
    </row>
    <row r="132" spans="1:7" x14ac:dyDescent="0.3">
      <c r="A132">
        <v>108</v>
      </c>
      <c r="B132">
        <v>-1.2829108668021214E-2</v>
      </c>
      <c r="C132">
        <v>-4.3054019993109649E-2</v>
      </c>
      <c r="F132">
        <v>90.336134453781526</v>
      </c>
      <c r="G132">
        <v>0.12035662100756929</v>
      </c>
    </row>
    <row r="133" spans="1:7" x14ac:dyDescent="0.3">
      <c r="A133">
        <v>109</v>
      </c>
      <c r="B133">
        <v>-0.10270998097882211</v>
      </c>
      <c r="C133">
        <v>2.2629802966363036E-2</v>
      </c>
      <c r="F133">
        <v>91.176470588235304</v>
      </c>
      <c r="G133">
        <v>0.12888365835595628</v>
      </c>
    </row>
    <row r="134" spans="1:7" x14ac:dyDescent="0.3">
      <c r="A134">
        <v>110</v>
      </c>
      <c r="B134">
        <v>0.16093077166011355</v>
      </c>
      <c r="C134">
        <v>2.7702955677169544E-2</v>
      </c>
      <c r="F134">
        <v>92.016806722689083</v>
      </c>
      <c r="G134">
        <v>0.13076367184975932</v>
      </c>
    </row>
    <row r="135" spans="1:7" x14ac:dyDescent="0.3">
      <c r="A135">
        <v>111</v>
      </c>
      <c r="B135">
        <v>-5.6433846516668121E-2</v>
      </c>
      <c r="C135">
        <v>2.3882121188447562E-2</v>
      </c>
      <c r="F135">
        <v>92.857142857142861</v>
      </c>
      <c r="G135">
        <v>0.13332715114813723</v>
      </c>
    </row>
    <row r="136" spans="1:7" x14ac:dyDescent="0.3">
      <c r="A136">
        <v>112</v>
      </c>
      <c r="B136">
        <v>-0.12221616787579236</v>
      </c>
      <c r="C136">
        <v>2.4600495250595711E-3</v>
      </c>
      <c r="F136">
        <v>93.69747899159664</v>
      </c>
      <c r="G136">
        <v>0.13487279515437092</v>
      </c>
    </row>
    <row r="137" spans="1:7" x14ac:dyDescent="0.3">
      <c r="A137">
        <v>113</v>
      </c>
      <c r="B137">
        <v>5.5817957750530466E-2</v>
      </c>
      <c r="C137">
        <v>5.3733568938420385E-2</v>
      </c>
      <c r="F137">
        <v>94.537815126050432</v>
      </c>
      <c r="G137">
        <v>0.14122540808018047</v>
      </c>
    </row>
    <row r="138" spans="1:7" x14ac:dyDescent="0.3">
      <c r="A138">
        <v>114</v>
      </c>
      <c r="B138">
        <v>7.4360232559508133E-2</v>
      </c>
      <c r="C138">
        <v>-0.10898923702652838</v>
      </c>
      <c r="F138">
        <v>95.378151260504211</v>
      </c>
      <c r="G138">
        <v>0.15049211343854327</v>
      </c>
    </row>
    <row r="139" spans="1:7" x14ac:dyDescent="0.3">
      <c r="A139">
        <v>115</v>
      </c>
      <c r="B139">
        <v>-0.10342480153707537</v>
      </c>
      <c r="C139">
        <v>-1.7391663464103146E-2</v>
      </c>
      <c r="F139">
        <v>96.21848739495799</v>
      </c>
      <c r="G139">
        <v>0.15537380788014626</v>
      </c>
    </row>
    <row r="140" spans="1:7" x14ac:dyDescent="0.3">
      <c r="A140">
        <v>116</v>
      </c>
      <c r="B140">
        <v>0.13731391633851459</v>
      </c>
      <c r="C140">
        <v>-2.679288788967904E-2</v>
      </c>
      <c r="F140">
        <v>97.058823529411768</v>
      </c>
      <c r="G140">
        <v>0.16513170557485388</v>
      </c>
    </row>
    <row r="141" spans="1:7" x14ac:dyDescent="0.3">
      <c r="A141">
        <v>117</v>
      </c>
      <c r="B141">
        <v>1.3612500296420445E-3</v>
      </c>
      <c r="C141">
        <v>2.0261908869971652E-2</v>
      </c>
      <c r="F141">
        <v>97.899159663865547</v>
      </c>
      <c r="G141">
        <v>0.18863372733728309</v>
      </c>
    </row>
    <row r="142" spans="1:7" x14ac:dyDescent="0.3">
      <c r="A142">
        <v>118</v>
      </c>
      <c r="B142">
        <v>0.1230921988375161</v>
      </c>
      <c r="C142">
        <v>-2.7355778299468086E-3</v>
      </c>
      <c r="F142">
        <v>98.739495798319339</v>
      </c>
      <c r="G142">
        <v>0.19622670146965263</v>
      </c>
    </row>
    <row r="143" spans="1:7" ht="15" thickBot="1" x14ac:dyDescent="0.35">
      <c r="A143" s="79">
        <v>119</v>
      </c>
      <c r="B143" s="79">
        <v>-1.072000075956013E-2</v>
      </c>
      <c r="C143" s="79">
        <v>1.2600006892246831E-2</v>
      </c>
      <c r="D143" s="79"/>
      <c r="F143" s="79">
        <v>99.579831932773118</v>
      </c>
      <c r="G143" s="79">
        <v>0.2143798734184994</v>
      </c>
    </row>
  </sheetData>
  <sortState xmlns:xlrd2="http://schemas.microsoft.com/office/spreadsheetml/2017/richdata2" ref="G25:G143">
    <sortCondition ref="G25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5335-38A7-4E46-A46F-4EF2FD92F99D}">
  <dimension ref="A1:I143"/>
  <sheetViews>
    <sheetView topLeftCell="A9"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.6640625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0.46835531210651304</v>
      </c>
    </row>
    <row r="5" spans="1:9" x14ac:dyDescent="0.3">
      <c r="A5" t="s">
        <v>82</v>
      </c>
      <c r="B5">
        <v>0.21935669837838925</v>
      </c>
    </row>
    <row r="6" spans="1:9" x14ac:dyDescent="0.3">
      <c r="A6" t="s">
        <v>83</v>
      </c>
      <c r="B6">
        <v>0.21268453340726437</v>
      </c>
    </row>
    <row r="7" spans="1:9" x14ac:dyDescent="0.3">
      <c r="A7" t="s">
        <v>84</v>
      </c>
      <c r="B7">
        <v>7.9515664979830106E-2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0.20786889884455795</v>
      </c>
      <c r="D12">
        <v>0.20786889884455795</v>
      </c>
      <c r="E12">
        <v>32.876390096422824</v>
      </c>
      <c r="F12">
        <v>7.8104044421876125E-8</v>
      </c>
    </row>
    <row r="13" spans="1:9" x14ac:dyDescent="0.3">
      <c r="A13" t="s">
        <v>88</v>
      </c>
      <c r="B13">
        <v>117</v>
      </c>
      <c r="C13">
        <v>0.73976069433059599</v>
      </c>
      <c r="D13">
        <v>6.322740977184581E-3</v>
      </c>
    </row>
    <row r="14" spans="1:9" ht="15" thickBot="1" x14ac:dyDescent="0.35">
      <c r="A14" s="79" t="s">
        <v>89</v>
      </c>
      <c r="B14" s="79">
        <v>118</v>
      </c>
      <c r="C14" s="79">
        <v>0.94762959317515394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7.4292567510607331E-3</v>
      </c>
      <c r="C17">
        <v>7.5414389675851866E-3</v>
      </c>
      <c r="D17">
        <v>0.98512456084221622</v>
      </c>
      <c r="E17">
        <v>0.32659571241125862</v>
      </c>
      <c r="F17">
        <v>-7.5061679429107957E-3</v>
      </c>
      <c r="G17">
        <v>2.2364681445032262E-2</v>
      </c>
      <c r="H17">
        <v>-7.5061679429107957E-3</v>
      </c>
      <c r="I17">
        <v>2.2364681445032262E-2</v>
      </c>
    </row>
    <row r="18" spans="1:9" ht="15" thickBot="1" x14ac:dyDescent="0.35">
      <c r="A18" s="79" t="s">
        <v>103</v>
      </c>
      <c r="B18" s="79">
        <v>0.80428406460493895</v>
      </c>
      <c r="C18" s="79">
        <v>0.14027084124084382</v>
      </c>
      <c r="D18" s="79">
        <v>5.7337936914771204</v>
      </c>
      <c r="E18" s="143">
        <v>7.8104044421876125E-8</v>
      </c>
      <c r="F18" s="79">
        <v>0.52648501390420888</v>
      </c>
      <c r="G18" s="79">
        <v>1.0820831153056689</v>
      </c>
      <c r="H18" s="79">
        <v>0.52648501390420888</v>
      </c>
      <c r="I18" s="79">
        <v>1.0820831153056689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D24" s="144" t="s">
        <v>112</v>
      </c>
      <c r="E24" s="141" t="s">
        <v>109</v>
      </c>
      <c r="F24" s="141" t="s">
        <v>110</v>
      </c>
    </row>
    <row r="25" spans="1:9" x14ac:dyDescent="0.3">
      <c r="A25">
        <v>1</v>
      </c>
      <c r="B25">
        <v>-1.2034773596872838E-2</v>
      </c>
      <c r="C25">
        <v>0.11047736288042088</v>
      </c>
      <c r="D25">
        <f>AVERAGE(C25:C143)</f>
        <v>-4.8105777064903052E-18</v>
      </c>
      <c r="E25">
        <v>0.42016806722689076</v>
      </c>
      <c r="F25">
        <v>-0.21602787698729617</v>
      </c>
    </row>
    <row r="26" spans="1:9" x14ac:dyDescent="0.3">
      <c r="A26">
        <v>2</v>
      </c>
      <c r="B26">
        <v>5.7348671124962711E-2</v>
      </c>
      <c r="C26">
        <v>1.5321057714258984E-2</v>
      </c>
      <c r="E26">
        <v>1.2605042016806722</v>
      </c>
      <c r="F26">
        <v>-0.15733110261585859</v>
      </c>
    </row>
    <row r="27" spans="1:9" x14ac:dyDescent="0.3">
      <c r="A27">
        <v>3</v>
      </c>
      <c r="B27">
        <v>3.1660631208186765E-3</v>
      </c>
      <c r="C27">
        <v>9.6490468939603599E-2</v>
      </c>
      <c r="E27">
        <v>2.1008403361344539</v>
      </c>
      <c r="F27">
        <v>-0.13052620590488911</v>
      </c>
    </row>
    <row r="28" spans="1:9" x14ac:dyDescent="0.3">
      <c r="A28">
        <v>4</v>
      </c>
      <c r="B28">
        <v>4.5209889580211146E-2</v>
      </c>
      <c r="C28">
        <v>2.7111455607629342E-2</v>
      </c>
      <c r="E28">
        <v>2.9411764705882351</v>
      </c>
      <c r="F28">
        <v>-0.1297899162853712</v>
      </c>
    </row>
    <row r="29" spans="1:9" x14ac:dyDescent="0.3">
      <c r="A29">
        <v>5</v>
      </c>
      <c r="B29">
        <v>4.7298581872016771E-2</v>
      </c>
      <c r="C29">
        <v>-8.9763178360372675E-2</v>
      </c>
      <c r="E29">
        <v>3.7815126050420167</v>
      </c>
      <c r="F29">
        <v>-0.11847048820967009</v>
      </c>
    </row>
    <row r="30" spans="1:9" x14ac:dyDescent="0.3">
      <c r="A30">
        <v>6</v>
      </c>
      <c r="B30">
        <v>3.3643224111872511E-2</v>
      </c>
      <c r="C30">
        <v>8.3748181694701079E-2</v>
      </c>
      <c r="E30">
        <v>4.6218487394957988</v>
      </c>
      <c r="F30">
        <v>-0.11594197526297782</v>
      </c>
    </row>
    <row r="31" spans="1:9" x14ac:dyDescent="0.3">
      <c r="A31">
        <v>7</v>
      </c>
      <c r="B31">
        <v>3.1452932722187736E-2</v>
      </c>
      <c r="C31">
        <v>-2.6394625477309475E-2</v>
      </c>
      <c r="E31">
        <v>5.46218487394958</v>
      </c>
      <c r="F31">
        <v>-0.11292981559695069</v>
      </c>
    </row>
    <row r="32" spans="1:9" x14ac:dyDescent="0.3">
      <c r="A32">
        <v>8</v>
      </c>
      <c r="B32">
        <v>-8.2623607271327983E-3</v>
      </c>
      <c r="C32">
        <v>-0.20776551626016337</v>
      </c>
      <c r="E32">
        <v>6.302521008403362</v>
      </c>
      <c r="F32">
        <v>-0.10510940814768768</v>
      </c>
    </row>
    <row r="33" spans="1:6" x14ac:dyDescent="0.3">
      <c r="A33">
        <v>9</v>
      </c>
      <c r="B33">
        <v>4.7205953277235646E-2</v>
      </c>
      <c r="C33">
        <v>-3.8810903864545797E-2</v>
      </c>
      <c r="E33">
        <v>7.1428571428571432</v>
      </c>
      <c r="F33">
        <v>-9.8360710528617779E-2</v>
      </c>
    </row>
    <row r="34" spans="1:6" x14ac:dyDescent="0.3">
      <c r="A34">
        <v>10</v>
      </c>
      <c r="B34">
        <v>-1.4409447138508724E-2</v>
      </c>
      <c r="C34">
        <v>-4.4846259696509967E-2</v>
      </c>
      <c r="E34">
        <v>7.9831932773109244</v>
      </c>
      <c r="F34">
        <v>-9.6377317467661747E-2</v>
      </c>
    </row>
    <row r="35" spans="1:6" x14ac:dyDescent="0.3">
      <c r="A35">
        <v>11</v>
      </c>
      <c r="B35">
        <v>4.3604160482996236E-3</v>
      </c>
      <c r="C35">
        <v>7.3203453228740195E-2</v>
      </c>
      <c r="E35">
        <v>8.8235294117647065</v>
      </c>
      <c r="F35">
        <v>-9.0821227781691702E-2</v>
      </c>
    </row>
    <row r="36" spans="1:6" x14ac:dyDescent="0.3">
      <c r="A36">
        <v>12</v>
      </c>
      <c r="B36">
        <v>4.2187078067335695E-2</v>
      </c>
      <c r="C36">
        <v>-0.1330083058490274</v>
      </c>
      <c r="E36">
        <v>9.6638655462184886</v>
      </c>
      <c r="F36">
        <v>-8.5923286090956341E-2</v>
      </c>
    </row>
    <row r="37" spans="1:6" x14ac:dyDescent="0.3">
      <c r="A37">
        <v>13</v>
      </c>
      <c r="B37">
        <v>3.1677299282552168E-2</v>
      </c>
      <c r="C37">
        <v>-0.14460711487950284</v>
      </c>
      <c r="E37">
        <v>10.504201680672269</v>
      </c>
      <c r="F37">
        <v>-8.2373816078408921E-2</v>
      </c>
    </row>
    <row r="38" spans="1:6" x14ac:dyDescent="0.3">
      <c r="A38">
        <v>14</v>
      </c>
      <c r="B38">
        <v>1.6417566009649415E-2</v>
      </c>
      <c r="C38">
        <v>-1.959816574187213E-3</v>
      </c>
      <c r="E38">
        <v>11.344537815126051</v>
      </c>
      <c r="F38">
        <v>-8.1768073860682591E-2</v>
      </c>
    </row>
    <row r="39" spans="1:6" x14ac:dyDescent="0.3">
      <c r="A39">
        <v>15</v>
      </c>
      <c r="B39">
        <v>4.6700233442537806E-2</v>
      </c>
      <c r="C39">
        <v>8.1565707495866266E-2</v>
      </c>
      <c r="E39">
        <v>12.184873949579833</v>
      </c>
      <c r="F39">
        <v>-7.7333293674457543E-2</v>
      </c>
    </row>
    <row r="40" spans="1:6" x14ac:dyDescent="0.3">
      <c r="A40">
        <v>16</v>
      </c>
      <c r="B40">
        <v>9.0640543793850652E-4</v>
      </c>
      <c r="C40">
        <v>-0.13143261134282763</v>
      </c>
      <c r="E40">
        <v>13.025210084033613</v>
      </c>
      <c r="F40">
        <v>-7.7029818646969436E-2</v>
      </c>
    </row>
    <row r="41" spans="1:6" x14ac:dyDescent="0.3">
      <c r="A41">
        <v>17</v>
      </c>
      <c r="B41">
        <v>2.9030694963100463E-2</v>
      </c>
      <c r="C41">
        <v>-5.2033161693401442E-2</v>
      </c>
      <c r="E41">
        <v>13.865546218487395</v>
      </c>
      <c r="F41">
        <v>-7.4509711002196485E-2</v>
      </c>
    </row>
    <row r="42" spans="1:6" x14ac:dyDescent="0.3">
      <c r="A42">
        <v>18</v>
      </c>
      <c r="B42">
        <v>4.2163769055768283E-2</v>
      </c>
      <c r="C42">
        <v>0.11644853083585834</v>
      </c>
      <c r="E42">
        <v>14.705882352941178</v>
      </c>
      <c r="F42">
        <v>-7.2316388648616364E-2</v>
      </c>
    </row>
    <row r="43" spans="1:6" x14ac:dyDescent="0.3">
      <c r="A43">
        <v>19</v>
      </c>
      <c r="B43">
        <v>-1.1392096738196925E-2</v>
      </c>
      <c r="C43">
        <v>2.3010078760265402E-3</v>
      </c>
      <c r="E43">
        <v>15.546218487394958</v>
      </c>
      <c r="F43">
        <v>-7.1895503046495279E-2</v>
      </c>
    </row>
    <row r="44" spans="1:6" x14ac:dyDescent="0.3">
      <c r="A44">
        <v>20</v>
      </c>
      <c r="B44">
        <v>-9.2495378957556905E-3</v>
      </c>
      <c r="C44">
        <v>-8.0198863371456902E-3</v>
      </c>
      <c r="E44">
        <v>16.386554621848738</v>
      </c>
      <c r="F44">
        <v>-7.1223686916469534E-2</v>
      </c>
    </row>
    <row r="45" spans="1:6" x14ac:dyDescent="0.3">
      <c r="A45">
        <v>21</v>
      </c>
      <c r="B45">
        <v>6.4087742197386569E-2</v>
      </c>
      <c r="C45">
        <v>-4.4318347255144559E-2</v>
      </c>
      <c r="E45">
        <v>17.22689075630252</v>
      </c>
      <c r="F45">
        <v>-6.9396235623330221E-2</v>
      </c>
    </row>
    <row r="46" spans="1:6" x14ac:dyDescent="0.3">
      <c r="A46">
        <v>22</v>
      </c>
      <c r="B46">
        <v>-1.1946714771561961E-2</v>
      </c>
      <c r="C46">
        <v>-0.10652377343810812</v>
      </c>
      <c r="E46">
        <v>18.067226890756302</v>
      </c>
      <c r="F46">
        <v>-6.8078689938540091E-2</v>
      </c>
    </row>
    <row r="47" spans="1:6" x14ac:dyDescent="0.3">
      <c r="A47">
        <v>23</v>
      </c>
      <c r="B47">
        <v>2.2380296760716491E-2</v>
      </c>
      <c r="C47">
        <v>-1.3217188897183034E-2</v>
      </c>
      <c r="E47">
        <v>18.907563025210084</v>
      </c>
      <c r="F47">
        <v>-6.1273028678524404E-2</v>
      </c>
    </row>
    <row r="48" spans="1:6" x14ac:dyDescent="0.3">
      <c r="A48">
        <v>24</v>
      </c>
      <c r="B48">
        <v>2.4556221031032249E-2</v>
      </c>
      <c r="C48">
        <v>1.9027323162485572E-2</v>
      </c>
      <c r="E48">
        <v>19.747899159663863</v>
      </c>
      <c r="F48">
        <v>-5.9255706835018691E-2</v>
      </c>
    </row>
    <row r="49" spans="1:6" x14ac:dyDescent="0.3">
      <c r="A49">
        <v>25</v>
      </c>
      <c r="B49">
        <v>-1.2460904301515269E-2</v>
      </c>
      <c r="C49">
        <v>-6.1499561083177938E-3</v>
      </c>
      <c r="E49">
        <v>20.588235294117645</v>
      </c>
      <c r="F49">
        <v>-5.5361445962570109E-2</v>
      </c>
    </row>
    <row r="50" spans="1:6" x14ac:dyDescent="0.3">
      <c r="A50">
        <v>26</v>
      </c>
      <c r="B50">
        <v>4.2578663338999428E-2</v>
      </c>
      <c r="C50">
        <v>-2.1150079048579747E-2</v>
      </c>
      <c r="E50">
        <v>21.428571428571427</v>
      </c>
      <c r="F50">
        <v>-5.3921540115045866E-2</v>
      </c>
    </row>
    <row r="51" spans="1:6" x14ac:dyDescent="0.3">
      <c r="A51">
        <v>27</v>
      </c>
      <c r="B51">
        <v>-4.7662402088866115E-2</v>
      </c>
      <c r="C51">
        <v>-7.6990438737039937E-3</v>
      </c>
      <c r="E51">
        <v>22.268907563025209</v>
      </c>
      <c r="F51">
        <v>-5.3593203110742317E-2</v>
      </c>
    </row>
    <row r="52" spans="1:6" x14ac:dyDescent="0.3">
      <c r="A52">
        <v>28</v>
      </c>
      <c r="B52">
        <v>-1.0167012269695023E-2</v>
      </c>
      <c r="C52">
        <v>1.0783887269493924E-2</v>
      </c>
      <c r="E52">
        <v>23.109243697478991</v>
      </c>
      <c r="F52">
        <v>-4.7294646094653579E-2</v>
      </c>
    </row>
    <row r="53" spans="1:6" x14ac:dyDescent="0.3">
      <c r="A53">
        <v>29</v>
      </c>
      <c r="B53">
        <v>9.7411215123510295E-2</v>
      </c>
      <c r="C53">
        <v>-8.1998140200882433E-2</v>
      </c>
      <c r="E53">
        <v>23.949579831932773</v>
      </c>
      <c r="F53">
        <v>-4.5889008895222891E-2</v>
      </c>
    </row>
    <row r="54" spans="1:6" x14ac:dyDescent="0.3">
      <c r="A54">
        <v>30</v>
      </c>
      <c r="B54">
        <v>1.0141965751989135E-2</v>
      </c>
      <c r="C54">
        <v>-8.9275020369981497E-3</v>
      </c>
      <c r="E54">
        <v>24.789915966386552</v>
      </c>
      <c r="F54">
        <v>-4.4925267120957395E-2</v>
      </c>
    </row>
    <row r="55" spans="1:6" x14ac:dyDescent="0.3">
      <c r="A55">
        <v>31</v>
      </c>
      <c r="B55">
        <v>-4.8543476036660999E-3</v>
      </c>
      <c r="C55">
        <v>-5.4550918289465646E-3</v>
      </c>
      <c r="E55">
        <v>25.630252100840334</v>
      </c>
      <c r="F55">
        <v>-4.444442328424824E-2</v>
      </c>
    </row>
    <row r="56" spans="1:6" x14ac:dyDescent="0.3">
      <c r="A56">
        <v>32</v>
      </c>
      <c r="B56">
        <v>-4.7569840278347014E-2</v>
      </c>
      <c r="C56">
        <v>-6.3516998366988514E-3</v>
      </c>
      <c r="E56">
        <v>26.470588235294116</v>
      </c>
      <c r="F56">
        <v>-4.3259013085804564E-2</v>
      </c>
    </row>
    <row r="57" spans="1:6" x14ac:dyDescent="0.3">
      <c r="A57">
        <v>33</v>
      </c>
      <c r="B57">
        <v>-7.2404608697070466E-3</v>
      </c>
      <c r="C57">
        <v>-3.3562476192105575E-2</v>
      </c>
      <c r="E57">
        <v>27.310924369747898</v>
      </c>
      <c r="F57">
        <v>-4.2464596488355905E-2</v>
      </c>
    </row>
    <row r="58" spans="1:6" x14ac:dyDescent="0.3">
      <c r="A58">
        <v>34</v>
      </c>
      <c r="B58">
        <v>6.152017647054514E-2</v>
      </c>
      <c r="C58">
        <v>6.2044748548732875E-2</v>
      </c>
      <c r="E58">
        <v>28.15126050420168</v>
      </c>
      <c r="F58">
        <v>-4.0802937061812622E-2</v>
      </c>
    </row>
    <row r="59" spans="1:6" x14ac:dyDescent="0.3">
      <c r="A59">
        <v>35</v>
      </c>
      <c r="B59">
        <v>-1.8107505125872603E-2</v>
      </c>
      <c r="C59">
        <v>4.8756525918532703E-2</v>
      </c>
      <c r="E59">
        <v>28.991596638655462</v>
      </c>
      <c r="F59">
        <v>-3.4389778273675571E-2</v>
      </c>
    </row>
    <row r="60" spans="1:6" x14ac:dyDescent="0.3">
      <c r="A60">
        <v>36</v>
      </c>
      <c r="B60">
        <v>4.1256566767611247E-2</v>
      </c>
      <c r="C60">
        <v>-7.4371015963680329E-3</v>
      </c>
      <c r="E60">
        <v>29.831932773109244</v>
      </c>
      <c r="F60">
        <v>-3.3783784435980395E-2</v>
      </c>
    </row>
    <row r="61" spans="1:6" x14ac:dyDescent="0.3">
      <c r="A61">
        <v>37</v>
      </c>
      <c r="B61">
        <v>-1.1449822003172665E-2</v>
      </c>
      <c r="C61">
        <v>-7.0318251857509922E-2</v>
      </c>
      <c r="E61">
        <v>30.672268907563023</v>
      </c>
      <c r="F61">
        <v>-3.2438540867927516E-2</v>
      </c>
    </row>
    <row r="62" spans="1:6" x14ac:dyDescent="0.3">
      <c r="A62">
        <v>38</v>
      </c>
      <c r="B62">
        <v>6.4328257293108079E-2</v>
      </c>
      <c r="C62">
        <v>-3.1531231555110603E-2</v>
      </c>
      <c r="E62">
        <v>31.512605042016805</v>
      </c>
      <c r="F62">
        <v>-2.3002466730300975E-2</v>
      </c>
    </row>
    <row r="63" spans="1:6" x14ac:dyDescent="0.3">
      <c r="A63">
        <v>39</v>
      </c>
      <c r="B63">
        <v>1.4369878011818609E-2</v>
      </c>
      <c r="C63">
        <v>5.6930289878820574E-2</v>
      </c>
      <c r="E63">
        <v>32.352941176470587</v>
      </c>
      <c r="F63">
        <v>-1.8610860409833063E-2</v>
      </c>
    </row>
    <row r="64" spans="1:6" x14ac:dyDescent="0.3">
      <c r="A64">
        <v>40</v>
      </c>
      <c r="B64">
        <v>2.5070791522608157E-2</v>
      </c>
      <c r="C64">
        <v>-5.750933239053567E-2</v>
      </c>
      <c r="E64">
        <v>33.193277310924366</v>
      </c>
      <c r="F64">
        <v>-1.7494807753735585E-2</v>
      </c>
    </row>
    <row r="65" spans="1:6" x14ac:dyDescent="0.3">
      <c r="A65">
        <v>41</v>
      </c>
      <c r="B65">
        <v>-4.8485702858940931E-3</v>
      </c>
      <c r="C65">
        <v>4.7623239995503566E-2</v>
      </c>
      <c r="E65">
        <v>34.033613445378151</v>
      </c>
      <c r="F65">
        <v>-1.7269424232901381E-2</v>
      </c>
    </row>
    <row r="66" spans="1:6" x14ac:dyDescent="0.3">
      <c r="A66">
        <v>42</v>
      </c>
      <c r="B66">
        <v>9.0273550274433713E-3</v>
      </c>
      <c r="C66">
        <v>-1.4016212619863709E-2</v>
      </c>
      <c r="E66">
        <v>34.87394957983193</v>
      </c>
      <c r="F66">
        <v>-1.6617806475436838E-2</v>
      </c>
    </row>
    <row r="67" spans="1:6" x14ac:dyDescent="0.3">
      <c r="A67">
        <v>43</v>
      </c>
      <c r="B67">
        <v>1.6258183185352652E-2</v>
      </c>
      <c r="C67">
        <v>0.1168893140583421</v>
      </c>
      <c r="E67">
        <v>35.714285714285715</v>
      </c>
      <c r="F67">
        <v>-1.5128580796275817E-2</v>
      </c>
    </row>
    <row r="68" spans="1:6" x14ac:dyDescent="0.3">
      <c r="A68">
        <v>44</v>
      </c>
      <c r="B68">
        <v>4.9291990279018552E-2</v>
      </c>
      <c r="C68">
        <v>-2.0776693963055433E-2</v>
      </c>
      <c r="E68">
        <v>36.554621848739494</v>
      </c>
      <c r="F68">
        <v>-1.3966434766242751E-2</v>
      </c>
    </row>
    <row r="69" spans="1:6" x14ac:dyDescent="0.3">
      <c r="A69">
        <v>45</v>
      </c>
      <c r="B69">
        <v>4.0994738461496719E-2</v>
      </c>
      <c r="C69">
        <v>-0.11221842537796625</v>
      </c>
      <c r="E69">
        <v>37.394957983193279</v>
      </c>
      <c r="F69">
        <v>-1.3223125178287066E-2</v>
      </c>
    </row>
    <row r="70" spans="1:6" x14ac:dyDescent="0.3">
      <c r="A70">
        <v>46</v>
      </c>
      <c r="B70">
        <v>2.3411386053403073E-2</v>
      </c>
      <c r="C70">
        <v>0.1263569306642067</v>
      </c>
      <c r="E70">
        <v>38.235294117647058</v>
      </c>
      <c r="F70">
        <v>-1.1627931078081246E-2</v>
      </c>
    </row>
    <row r="71" spans="1:6" x14ac:dyDescent="0.3">
      <c r="A71">
        <v>47</v>
      </c>
      <c r="B71">
        <v>2.9222095964407425E-2</v>
      </c>
      <c r="C71">
        <v>4.6874654289167601E-2</v>
      </c>
      <c r="E71">
        <v>39.075630252100837</v>
      </c>
      <c r="F71">
        <v>-1.0752694841134659E-2</v>
      </c>
    </row>
    <row r="72" spans="1:6" x14ac:dyDescent="0.3">
      <c r="A72">
        <v>48</v>
      </c>
      <c r="B72">
        <v>3.6997542832503588E-2</v>
      </c>
      <c r="C72">
        <v>-8.192280995346099E-2</v>
      </c>
      <c r="E72">
        <v>39.915966386554622</v>
      </c>
      <c r="F72">
        <v>-1.0309439432612665E-2</v>
      </c>
    </row>
    <row r="73" spans="1:6" x14ac:dyDescent="0.3">
      <c r="A73">
        <v>49</v>
      </c>
      <c r="B73">
        <v>-1.2283245465089611E-2</v>
      </c>
      <c r="C73">
        <v>2.1769745300394057E-2</v>
      </c>
      <c r="E73">
        <v>40.756302521008401</v>
      </c>
      <c r="F73">
        <v>-9.0910888621703843E-3</v>
      </c>
    </row>
    <row r="74" spans="1:6" x14ac:dyDescent="0.3">
      <c r="A74">
        <v>50</v>
      </c>
      <c r="B74">
        <v>4.0673586683273449E-2</v>
      </c>
      <c r="C74">
        <v>3.665040796947984E-2</v>
      </c>
      <c r="E74">
        <v>41.596638655462186</v>
      </c>
      <c r="F74">
        <v>-4.9888575924203387E-3</v>
      </c>
    </row>
    <row r="75" spans="1:6" x14ac:dyDescent="0.3">
      <c r="A75">
        <v>51</v>
      </c>
      <c r="B75">
        <v>2.2237924054661379E-2</v>
      </c>
      <c r="C75">
        <v>-6.1089419584792228E-3</v>
      </c>
      <c r="E75">
        <v>42.436974789915965</v>
      </c>
      <c r="F75">
        <v>-4.0843599204793725E-3</v>
      </c>
    </row>
    <row r="76" spans="1:6" x14ac:dyDescent="0.3">
      <c r="A76">
        <v>52</v>
      </c>
      <c r="B76">
        <v>6.1802039952163473E-3</v>
      </c>
      <c r="C76">
        <v>3.5089682358797447E-2</v>
      </c>
      <c r="E76">
        <v>43.27731092436975</v>
      </c>
      <c r="F76">
        <v>-3.7031014254960628E-4</v>
      </c>
    </row>
    <row r="77" spans="1:6" x14ac:dyDescent="0.3">
      <c r="A77">
        <v>53</v>
      </c>
      <c r="B77">
        <v>4.364783394007965E-2</v>
      </c>
      <c r="C77">
        <v>5.4675341212622269E-2</v>
      </c>
      <c r="E77">
        <v>44.117647058823529</v>
      </c>
      <c r="F77">
        <v>6.1687499979890112E-4</v>
      </c>
    </row>
    <row r="78" spans="1:6" x14ac:dyDescent="0.3">
      <c r="A78">
        <v>54</v>
      </c>
      <c r="B78">
        <v>2.2488924045646605E-2</v>
      </c>
      <c r="C78">
        <v>-9.9518742692616041E-2</v>
      </c>
      <c r="E78">
        <v>44.957983193277308</v>
      </c>
      <c r="F78">
        <v>1.2144637149909855E-3</v>
      </c>
    </row>
    <row r="79" spans="1:6" x14ac:dyDescent="0.3">
      <c r="A79">
        <v>55</v>
      </c>
      <c r="B79">
        <v>1.1328378873347438E-2</v>
      </c>
      <c r="C79">
        <v>4.0851472871546116E-3</v>
      </c>
      <c r="E79">
        <v>45.798319327731093</v>
      </c>
      <c r="F79">
        <v>5.0583072448782598E-3</v>
      </c>
    </row>
    <row r="80" spans="1:6" x14ac:dyDescent="0.3">
      <c r="A80">
        <v>56</v>
      </c>
      <c r="B80">
        <v>7.7035034046678413E-2</v>
      </c>
      <c r="C80">
        <v>-7.7405344189228023E-2</v>
      </c>
      <c r="E80">
        <v>46.638655462184872</v>
      </c>
      <c r="F80">
        <v>6.7001425636360893E-3</v>
      </c>
    </row>
    <row r="81" spans="1:6" x14ac:dyDescent="0.3">
      <c r="A81">
        <v>57</v>
      </c>
      <c r="B81">
        <v>-3.6305687167346168E-3</v>
      </c>
      <c r="C81">
        <v>-4.0813854567513623E-2</v>
      </c>
      <c r="E81">
        <v>47.478991596638657</v>
      </c>
      <c r="F81">
        <v>8.3950494126898475E-3</v>
      </c>
    </row>
    <row r="82" spans="1:6" x14ac:dyDescent="0.3">
      <c r="A82">
        <v>58</v>
      </c>
      <c r="B82">
        <v>-2.4638055418927777E-2</v>
      </c>
      <c r="C82">
        <v>1.3010124340846531E-2</v>
      </c>
      <c r="E82">
        <v>48.319327731092436</v>
      </c>
      <c r="F82">
        <v>9.1631078635334567E-3</v>
      </c>
    </row>
    <row r="83" spans="1:6" x14ac:dyDescent="0.3">
      <c r="A83">
        <v>59</v>
      </c>
      <c r="B83">
        <v>1.0416077469636862E-2</v>
      </c>
      <c r="C83">
        <v>7.1936875093801617E-2</v>
      </c>
      <c r="E83">
        <v>49.159663865546214</v>
      </c>
      <c r="F83">
        <v>9.4864998353044478E-3</v>
      </c>
    </row>
    <row r="84" spans="1:6" x14ac:dyDescent="0.3">
      <c r="A84">
        <v>60</v>
      </c>
      <c r="B84">
        <v>5.152532265703802E-2</v>
      </c>
      <c r="C84">
        <v>0.18941668742829412</v>
      </c>
      <c r="E84">
        <v>50</v>
      </c>
      <c r="F84">
        <v>1.2039693395999642E-2</v>
      </c>
    </row>
    <row r="85" spans="1:6" x14ac:dyDescent="0.3">
      <c r="A85">
        <v>61</v>
      </c>
      <c r="B85">
        <v>1.5863696090653454E-2</v>
      </c>
      <c r="C85">
        <v>0.11078521128348641</v>
      </c>
      <c r="E85">
        <v>50.840336134453779</v>
      </c>
      <c r="F85">
        <v>1.3121979654083531E-2</v>
      </c>
    </row>
    <row r="86" spans="1:6" x14ac:dyDescent="0.3">
      <c r="A86">
        <v>62</v>
      </c>
      <c r="B86">
        <v>2.9268134787571464E-2</v>
      </c>
      <c r="C86">
        <v>-0.10116363783406675</v>
      </c>
      <c r="E86">
        <v>51.680672268907564</v>
      </c>
      <c r="F86">
        <v>1.4457749435462202E-2</v>
      </c>
    </row>
    <row r="87" spans="1:6" x14ac:dyDescent="0.3">
      <c r="A87">
        <v>63</v>
      </c>
      <c r="B87">
        <v>5.4424156815814195E-2</v>
      </c>
      <c r="C87">
        <v>1.4589991875480601E-2</v>
      </c>
      <c r="E87">
        <v>52.521008403361343</v>
      </c>
      <c r="F87">
        <v>1.5413074922627857E-2</v>
      </c>
    </row>
    <row r="88" spans="1:6" x14ac:dyDescent="0.3">
      <c r="A88">
        <v>64</v>
      </c>
      <c r="B88">
        <v>4.6028118426761321E-3</v>
      </c>
      <c r="C88">
        <v>-0.12054478710565396</v>
      </c>
      <c r="E88">
        <v>53.361344537815128</v>
      </c>
      <c r="F88">
        <v>1.5413526160502049E-2</v>
      </c>
    </row>
    <row r="89" spans="1:6" x14ac:dyDescent="0.3">
      <c r="A89">
        <v>65</v>
      </c>
      <c r="B89">
        <v>-6.2221250031613537E-2</v>
      </c>
      <c r="C89">
        <v>-3.6139460497004242E-2</v>
      </c>
      <c r="E89">
        <v>54.201680672268907</v>
      </c>
      <c r="F89">
        <v>1.6128982096182156E-2</v>
      </c>
    </row>
    <row r="90" spans="1:6" x14ac:dyDescent="0.3">
      <c r="A90">
        <v>66</v>
      </c>
      <c r="B90">
        <v>5.3409035558497873E-3</v>
      </c>
      <c r="C90">
        <v>-1.8564028734136852E-2</v>
      </c>
      <c r="E90">
        <v>55.042016806722685</v>
      </c>
      <c r="F90">
        <v>1.9769394942242009E-2</v>
      </c>
    </row>
    <row r="91" spans="1:6" x14ac:dyDescent="0.3">
      <c r="A91">
        <v>67</v>
      </c>
      <c r="B91">
        <v>-6.421888636503234E-2</v>
      </c>
      <c r="C91">
        <v>7.0919028928668429E-2</v>
      </c>
      <c r="E91">
        <v>55.882352941176471</v>
      </c>
      <c r="F91">
        <v>2.1428584290419682E-2</v>
      </c>
    </row>
    <row r="92" spans="1:6" x14ac:dyDescent="0.3">
      <c r="A92">
        <v>68</v>
      </c>
      <c r="B92">
        <v>8.0726134019110121E-2</v>
      </c>
      <c r="C92">
        <v>-3.0809343652362875E-2</v>
      </c>
      <c r="E92">
        <v>56.72268907563025</v>
      </c>
      <c r="F92">
        <v>2.8515296315963119E-2</v>
      </c>
    </row>
    <row r="93" spans="1:6" x14ac:dyDescent="0.3">
      <c r="A93">
        <v>69</v>
      </c>
      <c r="B93">
        <v>2.9634619013802089E-2</v>
      </c>
      <c r="C93">
        <v>5.5943738850953662E-2</v>
      </c>
      <c r="E93">
        <v>57.563025210084035</v>
      </c>
      <c r="F93">
        <v>3.0649020792660103E-2</v>
      </c>
    </row>
    <row r="94" spans="1:6" x14ac:dyDescent="0.3">
      <c r="A94">
        <v>70</v>
      </c>
      <c r="B94">
        <v>3.929908275930033E-2</v>
      </c>
      <c r="C94">
        <v>-0.14440849090698801</v>
      </c>
      <c r="E94">
        <v>58.403361344537814</v>
      </c>
      <c r="F94">
        <v>3.2687481634813102E-2</v>
      </c>
    </row>
    <row r="95" spans="1:6" x14ac:dyDescent="0.3">
      <c r="A95">
        <v>71</v>
      </c>
      <c r="B95">
        <v>5.1322358398779938E-2</v>
      </c>
      <c r="C95">
        <v>4.4688659634375891E-3</v>
      </c>
      <c r="E95">
        <v>59.243697478991599</v>
      </c>
      <c r="F95">
        <v>3.2797025737997476E-2</v>
      </c>
    </row>
    <row r="96" spans="1:6" x14ac:dyDescent="0.3">
      <c r="A96">
        <v>72</v>
      </c>
      <c r="B96">
        <v>-6.0115861883949559E-2</v>
      </c>
      <c r="C96">
        <v>-6.9674054401421645E-2</v>
      </c>
      <c r="E96">
        <v>60.084033613445378</v>
      </c>
      <c r="F96">
        <v>3.3819465171243214E-2</v>
      </c>
    </row>
    <row r="97" spans="1:6" x14ac:dyDescent="0.3">
      <c r="A97">
        <v>73</v>
      </c>
      <c r="B97">
        <v>6.8712268673056298E-2</v>
      </c>
      <c r="C97">
        <v>-5.0442519728071261E-3</v>
      </c>
      <c r="E97">
        <v>60.924369747899156</v>
      </c>
      <c r="F97">
        <v>3.9924012260131515E-2</v>
      </c>
    </row>
    <row r="98" spans="1:6" x14ac:dyDescent="0.3">
      <c r="A98">
        <v>74</v>
      </c>
      <c r="B98">
        <v>2.606040662459054E-2</v>
      </c>
      <c r="C98">
        <v>-6.0450184898266111E-2</v>
      </c>
      <c r="E98">
        <v>61.764705882352942</v>
      </c>
      <c r="F98">
        <v>4.1269886354013796E-2</v>
      </c>
    </row>
    <row r="99" spans="1:6" x14ac:dyDescent="0.3">
      <c r="A99">
        <v>75</v>
      </c>
      <c r="B99">
        <v>-8.7388318268370319E-3</v>
      </c>
      <c r="C99">
        <v>-5.2276029394057195E-3</v>
      </c>
      <c r="E99">
        <v>62.605042016806721</v>
      </c>
      <c r="F99">
        <v>4.2774669709609477E-2</v>
      </c>
    </row>
    <row r="100" spans="1:6" x14ac:dyDescent="0.3">
      <c r="A100">
        <v>76</v>
      </c>
      <c r="B100">
        <v>1.3541668714596201E-2</v>
      </c>
      <c r="C100">
        <v>-1.5019753185965597E-3</v>
      </c>
      <c r="E100">
        <v>63.445378151260506</v>
      </c>
      <c r="F100">
        <v>4.3583544193517822E-2</v>
      </c>
    </row>
    <row r="101" spans="1:6" x14ac:dyDescent="0.3">
      <c r="A101">
        <v>77</v>
      </c>
      <c r="B101">
        <v>4.2133191179193924E-2</v>
      </c>
      <c r="C101">
        <v>-5.9627998932929513E-2</v>
      </c>
      <c r="E101">
        <v>64.285714285714292</v>
      </c>
      <c r="F101">
        <v>4.5245862295081971E-2</v>
      </c>
    </row>
    <row r="102" spans="1:6" x14ac:dyDescent="0.3">
      <c r="A102">
        <v>78</v>
      </c>
      <c r="B102">
        <v>3.9252036536252616E-2</v>
      </c>
      <c r="C102">
        <v>0.15804140996347318</v>
      </c>
      <c r="E102">
        <v>65.12605042016807</v>
      </c>
      <c r="F102">
        <v>4.9916790366747246E-2</v>
      </c>
    </row>
    <row r="103" spans="1:6" x14ac:dyDescent="0.3">
      <c r="A103">
        <v>79</v>
      </c>
      <c r="B103">
        <v>3.8953974559624738E-2</v>
      </c>
      <c r="C103">
        <v>-0.10022700323814915</v>
      </c>
      <c r="E103">
        <v>65.966386554621849</v>
      </c>
      <c r="F103">
        <v>5.5665958174975598E-2</v>
      </c>
    </row>
    <row r="104" spans="1:6" x14ac:dyDescent="0.3">
      <c r="A104">
        <v>80</v>
      </c>
      <c r="B104">
        <v>3.1230591935972701E-2</v>
      </c>
      <c r="C104">
        <v>8.6934203241588147E-3</v>
      </c>
      <c r="E104">
        <v>66.806722689075642</v>
      </c>
      <c r="F104">
        <v>5.5791224362217527E-2</v>
      </c>
    </row>
    <row r="105" spans="1:6" x14ac:dyDescent="0.3">
      <c r="A105">
        <v>81</v>
      </c>
      <c r="B105">
        <v>-3.9950209377555154E-2</v>
      </c>
      <c r="C105">
        <v>-4.5973076713401187E-2</v>
      </c>
      <c r="E105">
        <v>67.64705882352942</v>
      </c>
      <c r="F105">
        <v>6.0421717760186157E-2</v>
      </c>
    </row>
    <row r="106" spans="1:6" x14ac:dyDescent="0.3">
      <c r="A106">
        <v>82</v>
      </c>
      <c r="B106">
        <v>-5.4193529990447867E-2</v>
      </c>
      <c r="C106">
        <v>-2.3139763684009676E-2</v>
      </c>
      <c r="E106">
        <v>68.487394957983199</v>
      </c>
      <c r="F106">
        <v>6.1416134802103207E-2</v>
      </c>
    </row>
    <row r="107" spans="1:6" x14ac:dyDescent="0.3">
      <c r="A107">
        <v>83</v>
      </c>
      <c r="B107">
        <v>0.12961432609568702</v>
      </c>
      <c r="C107">
        <v>-6.8198191293583815E-2</v>
      </c>
      <c r="E107">
        <v>69.327731092436977</v>
      </c>
      <c r="F107">
        <v>6.3668016700249172E-2</v>
      </c>
    </row>
    <row r="108" spans="1:6" x14ac:dyDescent="0.3">
      <c r="A108">
        <v>84</v>
      </c>
      <c r="B108">
        <v>5.7025797493156963E-2</v>
      </c>
      <c r="C108">
        <v>-6.1110157413636332E-2</v>
      </c>
      <c r="E108">
        <v>70.16806722689077</v>
      </c>
      <c r="F108">
        <v>6.6793855778812222E-2</v>
      </c>
    </row>
    <row r="109" spans="1:6" x14ac:dyDescent="0.3">
      <c r="A109">
        <v>85</v>
      </c>
      <c r="B109">
        <v>5.804199574788721E-2</v>
      </c>
      <c r="C109">
        <v>-0.15441931321554897</v>
      </c>
      <c r="E109">
        <v>71.008403361344548</v>
      </c>
      <c r="F109">
        <v>6.9014148691294797E-2</v>
      </c>
    </row>
    <row r="110" spans="1:6" x14ac:dyDescent="0.3">
      <c r="A110">
        <v>86</v>
      </c>
      <c r="B110">
        <v>6.6742246159809504E-2</v>
      </c>
      <c r="C110">
        <v>-0.13482093609834961</v>
      </c>
      <c r="E110">
        <v>71.848739495798327</v>
      </c>
      <c r="F110">
        <v>7.1300167890639185E-2</v>
      </c>
    </row>
    <row r="111" spans="1:6" x14ac:dyDescent="0.3">
      <c r="A111">
        <v>87</v>
      </c>
      <c r="B111">
        <v>9.6282039658054597E-2</v>
      </c>
      <c r="C111">
        <v>-2.3230067132552074E-2</v>
      </c>
      <c r="E111">
        <v>72.689075630252105</v>
      </c>
      <c r="F111">
        <v>7.2321345187840488E-2</v>
      </c>
    </row>
    <row r="112" spans="1:6" x14ac:dyDescent="0.3">
      <c r="A112">
        <v>88</v>
      </c>
      <c r="B112">
        <v>-3.8569720039356395E-2</v>
      </c>
      <c r="C112">
        <v>2.3441139243080576E-2</v>
      </c>
      <c r="E112">
        <v>73.529411764705884</v>
      </c>
      <c r="F112">
        <v>7.2463765644884381E-2</v>
      </c>
    </row>
    <row r="113" spans="1:6" x14ac:dyDescent="0.3">
      <c r="A113">
        <v>89</v>
      </c>
      <c r="B113">
        <v>-1.8288918071035498E-2</v>
      </c>
      <c r="C113">
        <v>7.5362232299008396E-3</v>
      </c>
      <c r="E113">
        <v>74.369747899159677</v>
      </c>
      <c r="F113">
        <v>7.2669728839221695E-2</v>
      </c>
    </row>
    <row r="114" spans="1:6" x14ac:dyDescent="0.3">
      <c r="A114">
        <v>90</v>
      </c>
      <c r="B114">
        <v>9.5867438526874335E-2</v>
      </c>
      <c r="C114">
        <v>0.18053011034521182</v>
      </c>
      <c r="E114">
        <v>75.210084033613455</v>
      </c>
      <c r="F114">
        <v>7.3051972525502523E-2</v>
      </c>
    </row>
    <row r="115" spans="1:6" x14ac:dyDescent="0.3">
      <c r="A115">
        <v>91</v>
      </c>
      <c r="B115">
        <v>4.8072466562982072E-2</v>
      </c>
      <c r="C115">
        <v>3.7693903069627888E-2</v>
      </c>
      <c r="E115">
        <v>76.050420168067234</v>
      </c>
      <c r="F115">
        <v>7.4443271097284061E-2</v>
      </c>
    </row>
    <row r="116" spans="1:6" x14ac:dyDescent="0.3">
      <c r="A116">
        <v>92</v>
      </c>
      <c r="B116">
        <v>9.7444318166253589E-3</v>
      </c>
      <c r="C116">
        <v>-8.4254142818821848E-2</v>
      </c>
      <c r="E116">
        <v>76.890756302521012</v>
      </c>
      <c r="F116">
        <v>7.6096750253575027E-2</v>
      </c>
    </row>
    <row r="117" spans="1:6" x14ac:dyDescent="0.3">
      <c r="A117">
        <v>93</v>
      </c>
      <c r="B117">
        <v>6.4374214500897663E-3</v>
      </c>
      <c r="C117">
        <v>2.6250060184723336E-2</v>
      </c>
      <c r="E117">
        <v>77.731092436974791</v>
      </c>
      <c r="F117">
        <v>7.7323994652753289E-2</v>
      </c>
    </row>
    <row r="118" spans="1:6" x14ac:dyDescent="0.3">
      <c r="A118">
        <v>94</v>
      </c>
      <c r="B118">
        <v>1.8768222258653915E-2</v>
      </c>
      <c r="C118">
        <v>5.5675048838630142E-2</v>
      </c>
      <c r="E118">
        <v>78.571428571428584</v>
      </c>
      <c r="F118">
        <v>7.7563869277039815E-2</v>
      </c>
    </row>
    <row r="119" spans="1:6" x14ac:dyDescent="0.3">
      <c r="A119">
        <v>95</v>
      </c>
      <c r="B119">
        <v>5.4693061360318138E-2</v>
      </c>
      <c r="C119">
        <v>0.10078975951031753</v>
      </c>
      <c r="E119">
        <v>79.411764705882362</v>
      </c>
      <c r="F119">
        <v>8.2352952563438483E-2</v>
      </c>
    </row>
    <row r="120" spans="1:6" x14ac:dyDescent="0.3">
      <c r="A120">
        <v>96</v>
      </c>
      <c r="B120">
        <v>-2.6817689519592052E-3</v>
      </c>
      <c r="C120">
        <v>0.21963167248662729</v>
      </c>
      <c r="E120">
        <v>80.252100840336141</v>
      </c>
      <c r="F120">
        <v>8.5578357864755747E-2</v>
      </c>
    </row>
    <row r="121" spans="1:6" x14ac:dyDescent="0.3">
      <c r="A121">
        <v>97</v>
      </c>
      <c r="B121">
        <v>5.8454087315076786E-2</v>
      </c>
      <c r="C121">
        <v>-0.10171310040088136</v>
      </c>
      <c r="E121">
        <v>81.092436974789919</v>
      </c>
      <c r="F121">
        <v>8.5766369632609959E-2</v>
      </c>
    </row>
    <row r="122" spans="1:6" x14ac:dyDescent="0.3">
      <c r="A122">
        <v>98</v>
      </c>
      <c r="B122">
        <v>2.9814720669980133E-2</v>
      </c>
      <c r="C122">
        <v>3.0606997090206024E-2</v>
      </c>
      <c r="E122">
        <v>81.932773109243698</v>
      </c>
      <c r="F122">
        <v>8.5867605148843146E-2</v>
      </c>
    </row>
    <row r="123" spans="1:6" x14ac:dyDescent="0.3">
      <c r="A123">
        <v>99</v>
      </c>
      <c r="B123">
        <v>4.0902393984474331E-2</v>
      </c>
      <c r="C123">
        <v>-8.6791402879697221E-2</v>
      </c>
      <c r="E123">
        <v>82.77310924369749</v>
      </c>
      <c r="F123">
        <v>9.8323175152701919E-2</v>
      </c>
    </row>
    <row r="124" spans="1:6" x14ac:dyDescent="0.3">
      <c r="A124">
        <v>100</v>
      </c>
      <c r="B124">
        <v>-3.8656831236403538E-2</v>
      </c>
      <c r="C124">
        <v>-8.6378148582500411E-3</v>
      </c>
      <c r="E124">
        <v>83.613445378151269</v>
      </c>
      <c r="F124">
        <v>9.8442589283548043E-2</v>
      </c>
    </row>
    <row r="125" spans="1:6" x14ac:dyDescent="0.3">
      <c r="A125">
        <v>101</v>
      </c>
      <c r="B125">
        <v>7.0987935279810482E-2</v>
      </c>
      <c r="C125">
        <v>3.1241829660841464E-2</v>
      </c>
      <c r="E125">
        <v>84.453781512605048</v>
      </c>
      <c r="F125">
        <v>9.8569090665529713E-2</v>
      </c>
    </row>
    <row r="126" spans="1:6" x14ac:dyDescent="0.3">
      <c r="A126">
        <v>102</v>
      </c>
      <c r="B126">
        <v>2.1913562076460405E-2</v>
      </c>
      <c r="C126">
        <v>4.4880293702351817E-2</v>
      </c>
      <c r="E126">
        <v>85.294117647058826</v>
      </c>
      <c r="F126">
        <v>9.965653206042227E-2</v>
      </c>
    </row>
    <row r="127" spans="1:6" x14ac:dyDescent="0.3">
      <c r="A127">
        <v>103</v>
      </c>
      <c r="B127">
        <v>1.6608595736501169E-2</v>
      </c>
      <c r="C127">
        <v>6.9259009412341976E-2</v>
      </c>
      <c r="E127">
        <v>86.134453781512619</v>
      </c>
      <c r="F127">
        <v>0.10222976494065195</v>
      </c>
    </row>
    <row r="128" spans="1:6" x14ac:dyDescent="0.3">
      <c r="A128">
        <v>104</v>
      </c>
      <c r="B128">
        <v>-6.1074034442922157E-2</v>
      </c>
      <c r="C128">
        <v>-9.625706817293643E-2</v>
      </c>
      <c r="E128">
        <v>86.974789915966397</v>
      </c>
      <c r="F128">
        <v>0.103473259145391</v>
      </c>
    </row>
    <row r="129" spans="1:6" x14ac:dyDescent="0.3">
      <c r="A129">
        <v>105</v>
      </c>
      <c r="B129">
        <v>-2.9861830496513132E-2</v>
      </c>
      <c r="C129">
        <v>1.3244024021076294E-2</v>
      </c>
      <c r="E129">
        <v>87.815126050420176</v>
      </c>
      <c r="F129">
        <v>0.11739140580657359</v>
      </c>
    </row>
    <row r="130" spans="1:6" x14ac:dyDescent="0.3">
      <c r="A130">
        <v>106</v>
      </c>
      <c r="B130">
        <v>4.1361294091233805E-2</v>
      </c>
      <c r="C130">
        <v>1.4304664083741793E-2</v>
      </c>
      <c r="E130">
        <v>88.655462184873954</v>
      </c>
      <c r="F130">
        <v>0.12356492501927802</v>
      </c>
    </row>
    <row r="131" spans="1:6" x14ac:dyDescent="0.3">
      <c r="A131">
        <v>107</v>
      </c>
      <c r="B131">
        <v>-0.10009183036724446</v>
      </c>
      <c r="C131">
        <v>2.7775441718628099E-2</v>
      </c>
      <c r="E131">
        <v>89.495798319327733</v>
      </c>
      <c r="F131">
        <v>0.12664890737413986</v>
      </c>
    </row>
    <row r="132" spans="1:6" x14ac:dyDescent="0.3">
      <c r="A132">
        <v>108</v>
      </c>
      <c r="B132">
        <v>-5.8787200962027528E-3</v>
      </c>
      <c r="C132">
        <v>-4.7714483014539566E-2</v>
      </c>
      <c r="E132">
        <v>90.336134453781526</v>
      </c>
      <c r="F132">
        <v>0.12826594093840407</v>
      </c>
    </row>
    <row r="133" spans="1:6" x14ac:dyDescent="0.3">
      <c r="A133">
        <v>109</v>
      </c>
      <c r="B133">
        <v>-6.499390291995169E-2</v>
      </c>
      <c r="C133">
        <v>-4.4023327033785309E-3</v>
      </c>
      <c r="E133">
        <v>91.176470588235304</v>
      </c>
      <c r="F133">
        <v>0.13314749724369476</v>
      </c>
    </row>
    <row r="134" spans="1:6" x14ac:dyDescent="0.3">
      <c r="A134">
        <v>110</v>
      </c>
      <c r="B134">
        <v>0.10840418380699032</v>
      </c>
      <c r="C134">
        <v>0.20499742159086917</v>
      </c>
      <c r="E134">
        <v>92.016806722689083</v>
      </c>
      <c r="F134">
        <v>0.14742786000355809</v>
      </c>
    </row>
    <row r="135" spans="1:6" x14ac:dyDescent="0.3">
      <c r="A135">
        <v>111</v>
      </c>
      <c r="B135">
        <v>-3.4557814809379528E-2</v>
      </c>
      <c r="C135">
        <v>-4.7816001269029393E-2</v>
      </c>
      <c r="E135">
        <v>92.857142857142861</v>
      </c>
      <c r="F135">
        <v>0.14976831671760976</v>
      </c>
    </row>
    <row r="136" spans="1:6" x14ac:dyDescent="0.3">
      <c r="A136">
        <v>112</v>
      </c>
      <c r="B136">
        <v>-7.7823237737945472E-2</v>
      </c>
      <c r="C136">
        <v>4.4039453301965077E-2</v>
      </c>
      <c r="E136">
        <v>93.69747899159664</v>
      </c>
      <c r="F136">
        <v>0.15548282087063567</v>
      </c>
    </row>
    <row r="137" spans="1:6" x14ac:dyDescent="0.3">
      <c r="A137">
        <v>113</v>
      </c>
      <c r="B137">
        <v>3.9270862649436258E-2</v>
      </c>
      <c r="C137">
        <v>0.13255737255192707</v>
      </c>
      <c r="E137">
        <v>94.537815126050432</v>
      </c>
      <c r="F137">
        <v>0.15861229989162662</v>
      </c>
    </row>
    <row r="138" spans="1:6" x14ac:dyDescent="0.3">
      <c r="A138">
        <v>114</v>
      </c>
      <c r="B138">
        <v>5.146622676996436E-2</v>
      </c>
      <c r="C138">
        <v>2.0997538874920021E-2</v>
      </c>
      <c r="E138">
        <v>95.378151260504211</v>
      </c>
      <c r="F138">
        <v>0.17182823520136334</v>
      </c>
    </row>
    <row r="139" spans="1:6" x14ac:dyDescent="0.3">
      <c r="A139">
        <v>115</v>
      </c>
      <c r="B139">
        <v>-6.5464044640886426E-2</v>
      </c>
      <c r="C139">
        <v>0.16403313530641614</v>
      </c>
      <c r="E139">
        <v>96.21848739495799</v>
      </c>
      <c r="F139">
        <v>0.1972934464997258</v>
      </c>
    </row>
    <row r="140" spans="1:6" x14ac:dyDescent="0.3">
      <c r="A140">
        <v>116</v>
      </c>
      <c r="B140">
        <v>9.2871237984761337E-2</v>
      </c>
      <c r="C140">
        <v>1.0602021160629665E-2</v>
      </c>
      <c r="E140">
        <v>97.058823529411768</v>
      </c>
      <c r="F140">
        <v>0.21694990353466809</v>
      </c>
    </row>
    <row r="141" spans="1:6" x14ac:dyDescent="0.3">
      <c r="A141">
        <v>117</v>
      </c>
      <c r="B141">
        <v>3.4543629856593023E-3</v>
      </c>
      <c r="C141">
        <v>4.1791499309422671E-2</v>
      </c>
      <c r="E141">
        <v>97.899159663865547</v>
      </c>
      <c r="F141">
        <v>0.24094201008533214</v>
      </c>
    </row>
    <row r="142" spans="1:6" x14ac:dyDescent="0.3">
      <c r="A142">
        <v>118</v>
      </c>
      <c r="B142">
        <v>8.351753003194913E-2</v>
      </c>
      <c r="C142">
        <v>6.3910329971608962E-2</v>
      </c>
      <c r="E142">
        <v>98.739495798319339</v>
      </c>
      <c r="F142">
        <v>0.27639754887208617</v>
      </c>
    </row>
    <row r="143" spans="1:6" ht="15" thickBot="1" x14ac:dyDescent="0.35">
      <c r="A143" s="79">
        <v>119</v>
      </c>
      <c r="B143" s="79">
        <v>-4.491547315184816E-3</v>
      </c>
      <c r="C143" s="79">
        <v>1.7613526969268347E-2</v>
      </c>
      <c r="E143" s="79">
        <v>99.579831932773118</v>
      </c>
      <c r="F143" s="79">
        <v>0.3134016053978595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E9D5-6835-449B-8F90-FF1ADBD10B3F}">
  <dimension ref="A1:I143"/>
  <sheetViews>
    <sheetView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.6640625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0.60668690468108122</v>
      </c>
    </row>
    <row r="5" spans="1:9" x14ac:dyDescent="0.3">
      <c r="A5" t="s">
        <v>82</v>
      </c>
      <c r="B5">
        <v>0.3680690003115113</v>
      </c>
    </row>
    <row r="6" spans="1:9" x14ac:dyDescent="0.3">
      <c r="A6" t="s">
        <v>83</v>
      </c>
      <c r="B6">
        <v>0.36266788065605415</v>
      </c>
    </row>
    <row r="7" spans="1:9" x14ac:dyDescent="0.3">
      <c r="A7" t="s">
        <v>84</v>
      </c>
      <c r="B7">
        <v>6.3174282916160354E-2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0.27197318358905542</v>
      </c>
      <c r="D12">
        <v>0.27197318358905542</v>
      </c>
      <c r="E12">
        <v>68.146796181347838</v>
      </c>
      <c r="F12">
        <v>2.6125914616458817E-13</v>
      </c>
    </row>
    <row r="13" spans="1:9" x14ac:dyDescent="0.3">
      <c r="A13" t="s">
        <v>88</v>
      </c>
      <c r="B13">
        <v>117</v>
      </c>
      <c r="C13">
        <v>0.46694583257061517</v>
      </c>
      <c r="D13">
        <v>3.9909900219710697E-3</v>
      </c>
    </row>
    <row r="14" spans="1:9" ht="15" thickBot="1" x14ac:dyDescent="0.35">
      <c r="A14" s="79" t="s">
        <v>89</v>
      </c>
      <c r="B14" s="79">
        <v>118</v>
      </c>
      <c r="C14" s="79">
        <v>0.73891901615967059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-1.9851673630197145E-3</v>
      </c>
      <c r="C17">
        <v>5.991586677342539E-3</v>
      </c>
      <c r="D17">
        <v>-0.33132581900662744</v>
      </c>
      <c r="E17">
        <v>0.74099109342902669</v>
      </c>
      <c r="F17">
        <v>-1.3851190810466218E-2</v>
      </c>
      <c r="G17">
        <v>9.8808560844267888E-3</v>
      </c>
      <c r="H17">
        <v>-1.3851190810466218E-2</v>
      </c>
      <c r="I17">
        <v>9.8808560844267888E-3</v>
      </c>
    </row>
    <row r="18" spans="1:9" ht="15" thickBot="1" x14ac:dyDescent="0.35">
      <c r="A18" s="79" t="s">
        <v>103</v>
      </c>
      <c r="B18" s="79">
        <v>0.91997865006732682</v>
      </c>
      <c r="C18" s="79">
        <v>0.11144357293226038</v>
      </c>
      <c r="D18" s="79">
        <v>8.2551072786092803</v>
      </c>
      <c r="E18" s="143">
        <v>2.6125914616458065E-13</v>
      </c>
      <c r="F18" s="79">
        <v>0.69927049366493299</v>
      </c>
      <c r="G18" s="79">
        <v>1.1406868064697206</v>
      </c>
      <c r="H18" s="79">
        <v>0.69927049366493299</v>
      </c>
      <c r="I18" s="79">
        <v>1.1406868064697206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-2.4249057886770183E-2</v>
      </c>
      <c r="C25">
        <v>-3.9620926022663629E-2</v>
      </c>
      <c r="E25">
        <v>0.42016806722689076</v>
      </c>
      <c r="F25">
        <v>-0.2253065813600941</v>
      </c>
    </row>
    <row r="26" spans="1:9" x14ac:dyDescent="0.3">
      <c r="A26">
        <v>2</v>
      </c>
      <c r="B26">
        <v>5.511505066804611E-2</v>
      </c>
      <c r="C26">
        <v>2.938104722706144E-2</v>
      </c>
      <c r="E26">
        <v>1.2605042016806722</v>
      </c>
      <c r="F26">
        <v>-0.15554150503993755</v>
      </c>
    </row>
    <row r="27" spans="1:9" x14ac:dyDescent="0.3">
      <c r="A27">
        <v>3</v>
      </c>
      <c r="B27">
        <v>-6.8616125066297742E-3</v>
      </c>
      <c r="C27">
        <v>-6.5686386816095246E-2</v>
      </c>
      <c r="E27">
        <v>2.1008403361344539</v>
      </c>
      <c r="F27">
        <v>-0.15388027816737529</v>
      </c>
    </row>
    <row r="28" spans="1:9" x14ac:dyDescent="0.3">
      <c r="A28">
        <v>4</v>
      </c>
      <c r="B28">
        <v>4.1230130711950613E-2</v>
      </c>
      <c r="C28">
        <v>2.1406999337007307E-3</v>
      </c>
      <c r="E28">
        <v>2.9411764705882351</v>
      </c>
      <c r="F28">
        <v>-0.12042342574203446</v>
      </c>
    </row>
    <row r="29" spans="1:9" x14ac:dyDescent="0.3">
      <c r="A29">
        <v>5</v>
      </c>
      <c r="B29">
        <v>4.3619277034233184E-2</v>
      </c>
      <c r="C29">
        <v>-2.6869559129601123E-2</v>
      </c>
      <c r="E29">
        <v>3.7815126050420167</v>
      </c>
      <c r="F29">
        <v>-0.11378195005176597</v>
      </c>
    </row>
    <row r="30" spans="1:9" x14ac:dyDescent="0.3">
      <c r="A30">
        <v>6</v>
      </c>
      <c r="B30">
        <v>2.7999624536785499E-2</v>
      </c>
      <c r="C30">
        <v>2.2230601800970175E-2</v>
      </c>
      <c r="E30">
        <v>4.6218487394957988</v>
      </c>
      <c r="F30">
        <v>-0.11244647544441796</v>
      </c>
    </row>
    <row r="31" spans="1:9" x14ac:dyDescent="0.3">
      <c r="A31">
        <v>7</v>
      </c>
      <c r="B31">
        <v>2.5494264298265717E-2</v>
      </c>
      <c r="C31">
        <v>2.7199020966112177E-2</v>
      </c>
      <c r="E31">
        <v>5.46218487394958</v>
      </c>
      <c r="F31">
        <v>-0.11050875573124655</v>
      </c>
    </row>
    <row r="32" spans="1:9" x14ac:dyDescent="0.3">
      <c r="A32">
        <v>8</v>
      </c>
      <c r="B32">
        <v>-1.9933991292600161E-2</v>
      </c>
      <c r="C32">
        <v>-5.4194029425908424E-2</v>
      </c>
      <c r="E32">
        <v>6.302521008403362</v>
      </c>
      <c r="F32">
        <v>-0.10492830701212014</v>
      </c>
    </row>
    <row r="33" spans="1:6" x14ac:dyDescent="0.3">
      <c r="A33">
        <v>9</v>
      </c>
      <c r="B33">
        <v>4.351332400925783E-2</v>
      </c>
      <c r="C33">
        <v>-2.9316381730706921E-2</v>
      </c>
      <c r="E33">
        <v>7.1428571428571432</v>
      </c>
      <c r="F33">
        <v>-0.10358988920935411</v>
      </c>
    </row>
    <row r="34" spans="1:6" x14ac:dyDescent="0.3">
      <c r="A34">
        <v>10</v>
      </c>
      <c r="B34">
        <v>-2.696532326529396E-2</v>
      </c>
      <c r="C34">
        <v>1.4667664720023078E-2</v>
      </c>
      <c r="E34">
        <v>7.9831932773109244</v>
      </c>
      <c r="F34">
        <v>-8.5699848190943173E-2</v>
      </c>
    </row>
    <row r="35" spans="1:6" x14ac:dyDescent="0.3">
      <c r="A35">
        <v>11</v>
      </c>
      <c r="B35">
        <v>-5.4954544012001984E-3</v>
      </c>
      <c r="C35">
        <v>-1.9100121070424459E-2</v>
      </c>
      <c r="E35">
        <v>8.8235294117647065</v>
      </c>
      <c r="F35">
        <v>-8.1359856888004928E-2</v>
      </c>
    </row>
    <row r="36" spans="1:6" x14ac:dyDescent="0.3">
      <c r="A36">
        <v>12</v>
      </c>
      <c r="B36">
        <v>3.7772494066632877E-2</v>
      </c>
      <c r="C36">
        <v>-3.7835297634483026E-2</v>
      </c>
      <c r="E36">
        <v>9.6638655462184886</v>
      </c>
      <c r="F36">
        <v>-8.0314035889651955E-2</v>
      </c>
    </row>
    <row r="37" spans="1:6" x14ac:dyDescent="0.3">
      <c r="A37">
        <v>13</v>
      </c>
      <c r="B37">
        <v>2.5750905520450958E-2</v>
      </c>
      <c r="C37">
        <v>2.5568166335077913E-2</v>
      </c>
      <c r="E37">
        <v>10.504201680672269</v>
      </c>
      <c r="F37">
        <v>-7.828721902761554E-2</v>
      </c>
    </row>
    <row r="38" spans="1:6" x14ac:dyDescent="0.3">
      <c r="A38">
        <v>14</v>
      </c>
      <c r="B38">
        <v>8.2960914384533624E-3</v>
      </c>
      <c r="C38">
        <v>2.4133115640237165E-2</v>
      </c>
      <c r="E38">
        <v>11.344537815126051</v>
      </c>
      <c r="F38">
        <v>-7.5508784481222016E-2</v>
      </c>
    </row>
    <row r="39" spans="1:6" x14ac:dyDescent="0.3">
      <c r="A39">
        <v>15</v>
      </c>
      <c r="B39">
        <v>4.2934857430952413E-2</v>
      </c>
      <c r="C39">
        <v>-6.8384408575526759E-3</v>
      </c>
      <c r="E39">
        <v>12.184873949579833</v>
      </c>
      <c r="F39">
        <v>-7.4461431449608484E-2</v>
      </c>
    </row>
    <row r="40" spans="1:6" x14ac:dyDescent="0.3">
      <c r="A40">
        <v>16</v>
      </c>
      <c r="B40">
        <v>-9.4463172349666183E-3</v>
      </c>
      <c r="C40">
        <v>3.7525992890223986E-2</v>
      </c>
      <c r="E40">
        <v>13.025210084033613</v>
      </c>
      <c r="F40">
        <v>-7.4128020718508589E-2</v>
      </c>
    </row>
    <row r="41" spans="1:6" x14ac:dyDescent="0.3">
      <c r="A41">
        <v>17</v>
      </c>
      <c r="B41">
        <v>2.2723592688799227E-2</v>
      </c>
      <c r="C41">
        <v>1.2249155568499627E-2</v>
      </c>
      <c r="E41">
        <v>13.865546218487395</v>
      </c>
      <c r="F41">
        <v>-7.3683728304902399E-2</v>
      </c>
    </row>
    <row r="42" spans="1:6" x14ac:dyDescent="0.3">
      <c r="A42">
        <v>18</v>
      </c>
      <c r="B42">
        <v>3.7745832102359433E-2</v>
      </c>
      <c r="C42">
        <v>-4.6061579262832573E-2</v>
      </c>
      <c r="E42">
        <v>14.705882352941178</v>
      </c>
      <c r="F42">
        <v>-7.2547999322725015E-2</v>
      </c>
    </row>
    <row r="43" spans="1:6" x14ac:dyDescent="0.3">
      <c r="A43">
        <v>19</v>
      </c>
      <c r="B43">
        <v>-2.3513933302193715E-2</v>
      </c>
      <c r="C43">
        <v>5.5565157405736101E-2</v>
      </c>
      <c r="E43">
        <v>15.546218487394958</v>
      </c>
      <c r="F43">
        <v>-7.1513239565621764E-2</v>
      </c>
    </row>
    <row r="44" spans="1:6" x14ac:dyDescent="0.3">
      <c r="A44">
        <v>20</v>
      </c>
      <c r="B44">
        <v>-2.1063171838298367E-2</v>
      </c>
      <c r="C44">
        <v>-8.9445583892948183E-2</v>
      </c>
      <c r="E44">
        <v>16.386554621848738</v>
      </c>
      <c r="F44">
        <v>-6.9785308373798802E-2</v>
      </c>
    </row>
    <row r="45" spans="1:6" x14ac:dyDescent="0.3">
      <c r="A45">
        <v>21</v>
      </c>
      <c r="B45">
        <v>6.2823523060771685E-2</v>
      </c>
      <c r="C45">
        <v>3.7982165076096072E-2</v>
      </c>
      <c r="E45">
        <v>17.22689075630252</v>
      </c>
      <c r="F45">
        <v>-6.9098057047227865E-2</v>
      </c>
    </row>
    <row r="46" spans="1:6" x14ac:dyDescent="0.3">
      <c r="A46">
        <v>22</v>
      </c>
      <c r="B46">
        <v>-2.4148331983073697E-2</v>
      </c>
      <c r="C46">
        <v>1.7668302155078815E-2</v>
      </c>
      <c r="E46">
        <v>18.067226890756302</v>
      </c>
      <c r="F46">
        <v>-6.7960523986948781E-2</v>
      </c>
    </row>
    <row r="47" spans="1:6" x14ac:dyDescent="0.3">
      <c r="A47">
        <v>23</v>
      </c>
      <c r="B47">
        <v>1.5116548573552914E-2</v>
      </c>
      <c r="C47">
        <v>2.9837085103485504E-2</v>
      </c>
      <c r="E47">
        <v>18.907563025210084</v>
      </c>
      <c r="F47">
        <v>-6.452810650669516E-2</v>
      </c>
    </row>
    <row r="48" spans="1:6" x14ac:dyDescent="0.3">
      <c r="A48">
        <v>24</v>
      </c>
      <c r="B48">
        <v>1.7605475012543229E-2</v>
      </c>
      <c r="C48">
        <v>3.2135393459073763E-2</v>
      </c>
      <c r="E48">
        <v>19.747899159663863</v>
      </c>
      <c r="F48">
        <v>-6.3869983909433811E-2</v>
      </c>
    </row>
    <row r="49" spans="1:6" x14ac:dyDescent="0.3">
      <c r="A49">
        <v>25</v>
      </c>
      <c r="B49">
        <v>-2.4736486604634615E-2</v>
      </c>
      <c r="C49">
        <v>4.0504325796106057E-2</v>
      </c>
      <c r="E49">
        <v>20.588235294117645</v>
      </c>
      <c r="F49">
        <v>-5.9362003960082413E-2</v>
      </c>
    </row>
    <row r="50" spans="1:6" x14ac:dyDescent="0.3">
      <c r="A50">
        <v>26</v>
      </c>
      <c r="B50">
        <v>3.8220408063024694E-2</v>
      </c>
      <c r="C50">
        <v>-5.6037764908410989E-2</v>
      </c>
      <c r="E50">
        <v>21.428571428571427</v>
      </c>
      <c r="F50">
        <v>-5.6032351132499984E-2</v>
      </c>
    </row>
    <row r="51" spans="1:6" x14ac:dyDescent="0.3">
      <c r="A51">
        <v>27</v>
      </c>
      <c r="B51">
        <v>-6.5001646440497107E-2</v>
      </c>
      <c r="C51">
        <v>-1.5312389449154848E-2</v>
      </c>
      <c r="E51">
        <v>22.268907563025209</v>
      </c>
      <c r="F51">
        <v>-5.3939483027399759E-2</v>
      </c>
    </row>
    <row r="52" spans="1:6" x14ac:dyDescent="0.3">
      <c r="A52">
        <v>28</v>
      </c>
      <c r="B52">
        <v>-2.2112622987653999E-2</v>
      </c>
      <c r="C52">
        <v>-5.3396161493568017E-2</v>
      </c>
      <c r="E52">
        <v>23.109243697478991</v>
      </c>
      <c r="F52">
        <v>-5.3720384247220837E-2</v>
      </c>
    </row>
    <row r="53" spans="1:6" x14ac:dyDescent="0.3">
      <c r="A53">
        <v>29</v>
      </c>
      <c r="B53">
        <v>0.10094050807549898</v>
      </c>
      <c r="C53">
        <v>-2.1866271814096047E-2</v>
      </c>
      <c r="E53">
        <v>23.949579831932773</v>
      </c>
      <c r="F53">
        <v>-5.2238483633774847E-2</v>
      </c>
    </row>
    <row r="54" spans="1:6" x14ac:dyDescent="0.3">
      <c r="A54">
        <v>30</v>
      </c>
      <c r="B54">
        <v>1.1177591706863135E-3</v>
      </c>
      <c r="C54">
        <v>1.2322401256050887E-2</v>
      </c>
      <c r="E54">
        <v>24.789915966386552</v>
      </c>
      <c r="F54">
        <v>-4.827309216773204E-2</v>
      </c>
    </row>
    <row r="55" spans="1:6" x14ac:dyDescent="0.3">
      <c r="A55">
        <v>31</v>
      </c>
      <c r="B55">
        <v>-1.6035742588296077E-2</v>
      </c>
      <c r="C55">
        <v>-3.2237349579435963E-2</v>
      </c>
      <c r="E55">
        <v>25.630252100840334</v>
      </c>
      <c r="F55">
        <v>-4.460842891191736E-2</v>
      </c>
    </row>
    <row r="56" spans="1:6" x14ac:dyDescent="0.3">
      <c r="A56">
        <v>32</v>
      </c>
      <c r="B56">
        <v>-6.4895769806560588E-2</v>
      </c>
      <c r="C56">
        <v>-3.869411940279352E-2</v>
      </c>
      <c r="E56">
        <v>26.470588235294116</v>
      </c>
      <c r="F56">
        <v>-4.2305130163030807E-2</v>
      </c>
    </row>
    <row r="57" spans="1:6" x14ac:dyDescent="0.3">
      <c r="A57">
        <v>33</v>
      </c>
      <c r="B57">
        <v>-1.8765093271724514E-2</v>
      </c>
      <c r="C57">
        <v>-5.5696338177883969E-2</v>
      </c>
      <c r="E57">
        <v>27.310924369747898</v>
      </c>
      <c r="F57">
        <v>-3.9413690120024686E-2</v>
      </c>
    </row>
    <row r="58" spans="1:6" x14ac:dyDescent="0.3">
      <c r="A58">
        <v>34</v>
      </c>
      <c r="B58">
        <v>5.9886618358452395E-2</v>
      </c>
      <c r="C58">
        <v>-5.5027137719112079E-3</v>
      </c>
      <c r="E58">
        <v>28.15126050420168</v>
      </c>
      <c r="F58">
        <v>-3.8708604724129875E-2</v>
      </c>
    </row>
    <row r="59" spans="1:6" x14ac:dyDescent="0.3">
      <c r="A59">
        <v>35</v>
      </c>
      <c r="B59">
        <v>-3.1195339182315557E-2</v>
      </c>
      <c r="C59">
        <v>7.6615678618721511E-2</v>
      </c>
      <c r="E59">
        <v>28.991596638655462</v>
      </c>
      <c r="F59">
        <v>-3.7752248397262711E-2</v>
      </c>
    </row>
    <row r="60" spans="1:6" x14ac:dyDescent="0.3">
      <c r="A60">
        <v>36</v>
      </c>
      <c r="B60">
        <v>3.6708130656904765E-2</v>
      </c>
      <c r="C60">
        <v>-6.4921467616230771E-2</v>
      </c>
      <c r="E60">
        <v>29.831932773109244</v>
      </c>
      <c r="F60">
        <v>-3.2787375877455747E-2</v>
      </c>
    </row>
    <row r="61" spans="1:6" x14ac:dyDescent="0.3">
      <c r="A61">
        <v>37</v>
      </c>
      <c r="B61">
        <v>-2.3579962226157599E-2</v>
      </c>
      <c r="C61">
        <v>-4.0948144280537557E-2</v>
      </c>
      <c r="E61">
        <v>30.672268907563023</v>
      </c>
      <c r="F61">
        <v>-2.8213336959326013E-2</v>
      </c>
    </row>
    <row r="62" spans="1:6" x14ac:dyDescent="0.3">
      <c r="A62">
        <v>38</v>
      </c>
      <c r="B62">
        <v>6.3098635751449417E-2</v>
      </c>
      <c r="C62">
        <v>5.753582375132571E-3</v>
      </c>
      <c r="E62">
        <v>31.512605042016805</v>
      </c>
      <c r="F62">
        <v>-2.5770513800624964E-2</v>
      </c>
    </row>
    <row r="63" spans="1:6" x14ac:dyDescent="0.3">
      <c r="A63">
        <v>39</v>
      </c>
      <c r="B63">
        <v>5.9538477923247023E-3</v>
      </c>
      <c r="C63">
        <v>6.1107175363490723E-2</v>
      </c>
      <c r="E63">
        <v>32.352941176470587</v>
      </c>
      <c r="F63">
        <v>-2.4595575471624657E-2</v>
      </c>
    </row>
    <row r="64" spans="1:6" x14ac:dyDescent="0.3">
      <c r="A64">
        <v>40</v>
      </c>
      <c r="B64">
        <v>1.8194065396261717E-2</v>
      </c>
      <c r="C64">
        <v>-6.280249430817908E-2</v>
      </c>
      <c r="E64">
        <v>33.193277310924366</v>
      </c>
      <c r="F64">
        <v>-2.0054898542591675E-2</v>
      </c>
    </row>
    <row r="65" spans="1:6" x14ac:dyDescent="0.3">
      <c r="A65">
        <v>41</v>
      </c>
      <c r="B65">
        <v>-1.6029134215410419E-2</v>
      </c>
      <c r="C65">
        <v>0.12125626289059652</v>
      </c>
      <c r="E65">
        <v>34.033613445378151</v>
      </c>
      <c r="F65">
        <v>-2.0003412955758245E-2</v>
      </c>
    </row>
    <row r="66" spans="1:6" x14ac:dyDescent="0.3">
      <c r="A66">
        <v>42</v>
      </c>
      <c r="B66">
        <v>-1.5718598220796623E-4</v>
      </c>
      <c r="C66">
        <v>0.23046476466325708</v>
      </c>
      <c r="E66">
        <v>34.87394957983193</v>
      </c>
      <c r="F66">
        <v>-1.851499231339598E-2</v>
      </c>
    </row>
    <row r="67" spans="1:6" x14ac:dyDescent="0.3">
      <c r="A67">
        <v>43</v>
      </c>
      <c r="B67">
        <v>8.1137817272539069E-3</v>
      </c>
      <c r="C67">
        <v>8.7203827176411217E-2</v>
      </c>
      <c r="E67">
        <v>35.714285714285715</v>
      </c>
      <c r="F67">
        <v>-1.7817356845386292E-2</v>
      </c>
    </row>
    <row r="68" spans="1:6" x14ac:dyDescent="0.3">
      <c r="A68">
        <v>44</v>
      </c>
      <c r="B68">
        <v>4.5899433083585177E-2</v>
      </c>
      <c r="C68">
        <v>-8.8204563246615991E-2</v>
      </c>
      <c r="E68">
        <v>36.554621848739494</v>
      </c>
      <c r="F68">
        <v>-1.3097361244898624E-2</v>
      </c>
    </row>
    <row r="69" spans="1:6" x14ac:dyDescent="0.3">
      <c r="A69">
        <v>45</v>
      </c>
      <c r="B69">
        <v>3.6408638894964949E-2</v>
      </c>
      <c r="C69">
        <v>4.5311240646855204E-2</v>
      </c>
      <c r="E69">
        <v>37.394957983193279</v>
      </c>
      <c r="F69">
        <v>-1.2297658545270882E-2</v>
      </c>
    </row>
    <row r="70" spans="1:6" x14ac:dyDescent="0.3">
      <c r="A70">
        <v>46</v>
      </c>
      <c r="B70">
        <v>1.6295957910788285E-2</v>
      </c>
      <c r="C70">
        <v>-8.7809197476410056E-2</v>
      </c>
      <c r="E70">
        <v>38.235294117647058</v>
      </c>
      <c r="F70">
        <v>-1.2251969122329228E-2</v>
      </c>
    </row>
    <row r="71" spans="1:6" x14ac:dyDescent="0.3">
      <c r="A71">
        <v>47</v>
      </c>
      <c r="B71">
        <v>2.2942526325002013E-2</v>
      </c>
      <c r="C71">
        <v>-4.871304012562698E-2</v>
      </c>
      <c r="E71">
        <v>39.075630252100837</v>
      </c>
      <c r="F71">
        <v>-8.3157471604731401E-3</v>
      </c>
    </row>
    <row r="72" spans="1:6" x14ac:dyDescent="0.3">
      <c r="A72">
        <v>48</v>
      </c>
      <c r="B72">
        <v>3.1836455010378836E-2</v>
      </c>
      <c r="C72">
        <v>-8.7868806142878814E-2</v>
      </c>
      <c r="E72">
        <v>39.915966386554622</v>
      </c>
      <c r="F72">
        <v>-7.0563666209809946E-3</v>
      </c>
    </row>
    <row r="73" spans="1:6" x14ac:dyDescent="0.3">
      <c r="A73">
        <v>49</v>
      </c>
      <c r="B73">
        <v>-2.4533271915073793E-2</v>
      </c>
      <c r="C73">
        <v>7.8434248345067986E-2</v>
      </c>
      <c r="E73">
        <v>40.756302521008401</v>
      </c>
      <c r="F73">
        <v>-6.615952318374755E-3</v>
      </c>
    </row>
    <row r="74" spans="1:6" x14ac:dyDescent="0.3">
      <c r="A74">
        <v>50</v>
      </c>
      <c r="B74">
        <v>3.6041290103165008E-2</v>
      </c>
      <c r="C74">
        <v>-2.0584078311538266E-2</v>
      </c>
      <c r="E74">
        <v>41.596638655462186</v>
      </c>
      <c r="F74">
        <v>-6.4800298279948819E-3</v>
      </c>
    </row>
    <row r="75" spans="1:6" x14ac:dyDescent="0.3">
      <c r="A75">
        <v>51</v>
      </c>
      <c r="B75">
        <v>1.4953695850631755E-2</v>
      </c>
      <c r="C75">
        <v>-2.2010062471612749E-2</v>
      </c>
      <c r="E75">
        <v>42.436974789915965</v>
      </c>
      <c r="F75">
        <v>-2.1596122890929783E-3</v>
      </c>
    </row>
    <row r="76" spans="1:6" x14ac:dyDescent="0.3">
      <c r="A76">
        <v>52</v>
      </c>
      <c r="B76">
        <v>-3.4138937530533492E-3</v>
      </c>
      <c r="C76">
        <v>6.7148903730790521E-2</v>
      </c>
      <c r="E76">
        <v>43.27731092436975</v>
      </c>
      <c r="F76">
        <v>-6.2803567850146341E-5</v>
      </c>
    </row>
    <row r="77" spans="1:6" x14ac:dyDescent="0.3">
      <c r="A77">
        <v>53</v>
      </c>
      <c r="B77">
        <v>3.9443376625452449E-2</v>
      </c>
      <c r="C77">
        <v>-1.7140478867794955E-2</v>
      </c>
      <c r="E77">
        <v>44.117647058823529</v>
      </c>
      <c r="F77">
        <v>1.6004146765135701E-3</v>
      </c>
    </row>
    <row r="78" spans="1:6" x14ac:dyDescent="0.3">
      <c r="A78">
        <v>54</v>
      </c>
      <c r="B78">
        <v>1.5240801666891988E-2</v>
      </c>
      <c r="C78">
        <v>6.0393376559101444E-3</v>
      </c>
      <c r="E78">
        <v>44.957983193277308</v>
      </c>
      <c r="F78">
        <v>1.7205859607281914E-3</v>
      </c>
    </row>
    <row r="79" spans="1:6" x14ac:dyDescent="0.3">
      <c r="A79">
        <v>55</v>
      </c>
      <c r="B79">
        <v>2.4748353454399474E-3</v>
      </c>
      <c r="C79">
        <v>2.9509404399157377E-2</v>
      </c>
      <c r="E79">
        <v>45.798319327731093</v>
      </c>
      <c r="F79">
        <v>4.0946447290150494E-3</v>
      </c>
    </row>
    <row r="80" spans="1:6" x14ac:dyDescent="0.3">
      <c r="A80">
        <v>56</v>
      </c>
      <c r="B80">
        <v>7.7633255842671278E-2</v>
      </c>
      <c r="C80">
        <v>-2.6094483873810553E-2</v>
      </c>
      <c r="E80">
        <v>46.638655462184872</v>
      </c>
      <c r="F80">
        <v>5.0391571640918294E-3</v>
      </c>
    </row>
    <row r="81" spans="1:6" x14ac:dyDescent="0.3">
      <c r="A81">
        <v>57</v>
      </c>
      <c r="B81">
        <v>-1.4635925660513064E-2</v>
      </c>
      <c r="C81">
        <v>-3.8790666528829166E-3</v>
      </c>
      <c r="E81">
        <v>47.478991596638657</v>
      </c>
      <c r="F81">
        <v>1.2037839805620641E-2</v>
      </c>
    </row>
    <row r="82" spans="1:6" x14ac:dyDescent="0.3">
      <c r="A82">
        <v>58</v>
      </c>
      <c r="B82">
        <v>-3.8665295516403526E-2</v>
      </c>
      <c r="C82">
        <v>-7.4839460362115945E-4</v>
      </c>
      <c r="E82">
        <v>48.319327731092436</v>
      </c>
      <c r="F82">
        <v>1.3440160426737201E-2</v>
      </c>
    </row>
    <row r="83" spans="1:6" x14ac:dyDescent="0.3">
      <c r="A83">
        <v>59</v>
      </c>
      <c r="B83">
        <v>1.4313012872929137E-3</v>
      </c>
      <c r="C83">
        <v>-5.5151685534513752E-2</v>
      </c>
      <c r="E83">
        <v>49.159663865546214</v>
      </c>
      <c r="F83">
        <v>1.419694227855091E-2</v>
      </c>
    </row>
    <row r="84" spans="1:6" x14ac:dyDescent="0.3">
      <c r="A84">
        <v>60</v>
      </c>
      <c r="B84">
        <v>4.8454025666855138E-2</v>
      </c>
      <c r="C84">
        <v>-0.10069250930062998</v>
      </c>
      <c r="E84">
        <v>50</v>
      </c>
      <c r="F84">
        <v>1.5457211791626744E-2</v>
      </c>
    </row>
    <row r="85" spans="1:6" x14ac:dyDescent="0.3">
      <c r="A85">
        <v>61</v>
      </c>
      <c r="B85">
        <v>7.6625484866343508E-3</v>
      </c>
      <c r="C85">
        <v>-2.7717447029226024E-2</v>
      </c>
      <c r="E85">
        <v>50.840336134453779</v>
      </c>
      <c r="F85">
        <v>1.5767839191471442E-2</v>
      </c>
    </row>
    <row r="86" spans="1:6" x14ac:dyDescent="0.3">
      <c r="A86">
        <v>62</v>
      </c>
      <c r="B86">
        <v>2.2995187736870148E-2</v>
      </c>
      <c r="C86">
        <v>5.3443057604558961E-2</v>
      </c>
      <c r="E86">
        <v>51.680672268907564</v>
      </c>
      <c r="F86">
        <v>1.6749717904632061E-2</v>
      </c>
    </row>
    <row r="87" spans="1:6" x14ac:dyDescent="0.3">
      <c r="A87">
        <v>63</v>
      </c>
      <c r="B87">
        <v>5.1769851074225257E-2</v>
      </c>
      <c r="C87">
        <v>-5.0169436397711688E-2</v>
      </c>
      <c r="E87">
        <v>52.521008403361343</v>
      </c>
      <c r="F87">
        <v>2.1280139322802132E-2</v>
      </c>
    </row>
    <row r="88" spans="1:6" x14ac:dyDescent="0.3">
      <c r="A88">
        <v>64</v>
      </c>
      <c r="B88">
        <v>-5.2181904772879003E-3</v>
      </c>
      <c r="C88">
        <v>-4.8721292550111858E-2</v>
      </c>
      <c r="E88">
        <v>53.361344537815128</v>
      </c>
      <c r="F88">
        <v>2.2302897757657494E-2</v>
      </c>
    </row>
    <row r="89" spans="1:6" x14ac:dyDescent="0.3">
      <c r="A89">
        <v>65</v>
      </c>
      <c r="B89">
        <v>-8.1654754299202797E-2</v>
      </c>
      <c r="C89">
        <v>8.6693911463294623E-2</v>
      </c>
      <c r="E89">
        <v>54.201680672268907</v>
      </c>
      <c r="F89">
        <v>2.2659862064143131E-2</v>
      </c>
    </row>
    <row r="90" spans="1:6" x14ac:dyDescent="0.3">
      <c r="A90">
        <v>66</v>
      </c>
      <c r="B90">
        <v>-4.3739258103696072E-3</v>
      </c>
      <c r="C90">
        <v>-0.14950635235700568</v>
      </c>
      <c r="E90">
        <v>55.042016806722685</v>
      </c>
      <c r="F90">
        <v>2.3538247173659831E-2</v>
      </c>
    </row>
    <row r="91" spans="1:6" x14ac:dyDescent="0.3">
      <c r="A91">
        <v>67</v>
      </c>
      <c r="B91">
        <v>-8.3939746453370101E-2</v>
      </c>
      <c r="C91">
        <v>-3.6483679288664361E-2</v>
      </c>
      <c r="E91">
        <v>55.882352941176471</v>
      </c>
      <c r="F91">
        <v>2.363253123508751E-2</v>
      </c>
    </row>
    <row r="92" spans="1:6" x14ac:dyDescent="0.3">
      <c r="A92">
        <v>68</v>
      </c>
      <c r="B92">
        <v>8.1855312848822748E-2</v>
      </c>
      <c r="C92">
        <v>0.10347862341868186</v>
      </c>
      <c r="E92">
        <v>56.72268907563025</v>
      </c>
      <c r="F92">
        <v>2.8079675655257371E-2</v>
      </c>
    </row>
    <row r="93" spans="1:6" x14ac:dyDescent="0.3">
      <c r="A93">
        <v>69</v>
      </c>
      <c r="B93">
        <v>2.3414389954788305E-2</v>
      </c>
      <c r="C93">
        <v>-3.003034227316306E-2</v>
      </c>
      <c r="E93">
        <v>57.563025210084035</v>
      </c>
      <c r="F93">
        <v>2.9677349158450966E-2</v>
      </c>
    </row>
    <row r="94" spans="1:6" x14ac:dyDescent="0.3">
      <c r="A94">
        <v>70</v>
      </c>
      <c r="B94">
        <v>3.4469066656079621E-2</v>
      </c>
      <c r="C94">
        <v>-5.4472479611837862E-2</v>
      </c>
      <c r="E94">
        <v>58.403361344537814</v>
      </c>
      <c r="F94">
        <v>3.1984239744597326E-2</v>
      </c>
    </row>
    <row r="95" spans="1:6" x14ac:dyDescent="0.3">
      <c r="A95">
        <v>71</v>
      </c>
      <c r="B95">
        <v>4.8221865423302507E-2</v>
      </c>
      <c r="C95">
        <v>2.4333950789149891E-2</v>
      </c>
      <c r="E95">
        <v>59.243697478991599</v>
      </c>
      <c r="F95">
        <v>3.2051224103542386E-2</v>
      </c>
    </row>
    <row r="96" spans="1:6" x14ac:dyDescent="0.3">
      <c r="A96">
        <v>72</v>
      </c>
      <c r="B96">
        <v>-7.9246510457013697E-2</v>
      </c>
      <c r="C96">
        <v>-3.4535439594752276E-2</v>
      </c>
      <c r="E96">
        <v>60.084033613445378</v>
      </c>
      <c r="F96">
        <v>3.2429207078690528E-2</v>
      </c>
    </row>
    <row r="97" spans="1:6" x14ac:dyDescent="0.3">
      <c r="A97">
        <v>73</v>
      </c>
      <c r="B97">
        <v>6.8113278026110974E-2</v>
      </c>
      <c r="C97">
        <v>5.809720673902577E-2</v>
      </c>
      <c r="E97">
        <v>60.924369747899156</v>
      </c>
      <c r="F97">
        <v>3.3893791488721146E-2</v>
      </c>
    </row>
    <row r="98" spans="1:6" x14ac:dyDescent="0.3">
      <c r="A98">
        <v>74</v>
      </c>
      <c r="B98">
        <v>1.9326034566949177E-2</v>
      </c>
      <c r="C98">
        <v>5.6578145430046536E-2</v>
      </c>
      <c r="E98">
        <v>61.764705882352942</v>
      </c>
      <c r="F98">
        <v>3.401036277935806E-2</v>
      </c>
    </row>
    <row r="99" spans="1:6" x14ac:dyDescent="0.3">
      <c r="A99">
        <v>75</v>
      </c>
      <c r="B99">
        <v>-2.0479001766377618E-2</v>
      </c>
      <c r="C99">
        <v>-5.3204726538524781E-2</v>
      </c>
      <c r="E99">
        <v>62.605042016806721</v>
      </c>
      <c r="F99">
        <v>3.490586202746386E-2</v>
      </c>
    </row>
    <row r="100" spans="1:6" x14ac:dyDescent="0.3">
      <c r="A100">
        <v>76</v>
      </c>
      <c r="B100">
        <v>5.0065023148208807E-3</v>
      </c>
      <c r="C100">
        <v>1.765335974932225E-2</v>
      </c>
      <c r="E100">
        <v>63.445378151260506</v>
      </c>
      <c r="F100">
        <v>3.4972748257298854E-2</v>
      </c>
    </row>
    <row r="101" spans="1:6" x14ac:dyDescent="0.3">
      <c r="A101">
        <v>77</v>
      </c>
      <c r="B101">
        <v>3.771085566200609E-2</v>
      </c>
      <c r="C101">
        <v>-8.033506503555124E-3</v>
      </c>
      <c r="E101">
        <v>64.285714285714292</v>
      </c>
      <c r="F101">
        <v>3.6096416573399737E-2</v>
      </c>
    </row>
    <row r="102" spans="1:6" x14ac:dyDescent="0.3">
      <c r="A102">
        <v>78</v>
      </c>
      <c r="B102">
        <v>3.441525293195534E-2</v>
      </c>
      <c r="C102">
        <v>2.9358759132858264E-3</v>
      </c>
      <c r="E102">
        <v>65.12605042016807</v>
      </c>
      <c r="F102">
        <v>3.7351128845241166E-2</v>
      </c>
    </row>
    <row r="103" spans="1:6" x14ac:dyDescent="0.3">
      <c r="A103">
        <v>79</v>
      </c>
      <c r="B103">
        <v>3.4074315361559485E-2</v>
      </c>
      <c r="C103">
        <v>1.054467946730793E-2</v>
      </c>
      <c r="E103">
        <v>65.966386554621849</v>
      </c>
      <c r="F103">
        <v>3.7364962671519987E-2</v>
      </c>
    </row>
    <row r="104" spans="1:6" x14ac:dyDescent="0.3">
      <c r="A104">
        <v>80</v>
      </c>
      <c r="B104">
        <v>2.5239940253616779E-2</v>
      </c>
      <c r="C104">
        <v>8.7704225257412803E-3</v>
      </c>
      <c r="E104">
        <v>66.806722689075642</v>
      </c>
      <c r="F104">
        <v>4.3370830645651344E-2</v>
      </c>
    </row>
    <row r="105" spans="1:6" x14ac:dyDescent="0.3">
      <c r="A105">
        <v>81</v>
      </c>
      <c r="B105">
        <v>-5.6180070890450622E-2</v>
      </c>
      <c r="C105">
        <v>-9.9361434149486921E-2</v>
      </c>
      <c r="E105">
        <v>67.64705882352942</v>
      </c>
      <c r="F105">
        <v>4.4618994828867414E-2</v>
      </c>
    </row>
    <row r="106" spans="1:6" x14ac:dyDescent="0.3">
      <c r="A106">
        <v>82</v>
      </c>
      <c r="B106">
        <v>-7.2472263470893694E-2</v>
      </c>
      <c r="C106">
        <v>-0.15283431788920041</v>
      </c>
      <c r="E106">
        <v>68.487394957983199</v>
      </c>
      <c r="F106">
        <v>4.4953633677038418E-2</v>
      </c>
    </row>
    <row r="107" spans="1:6" x14ac:dyDescent="0.3">
      <c r="A107">
        <v>83</v>
      </c>
      <c r="B107">
        <v>0.13777596940557482</v>
      </c>
      <c r="C107">
        <v>4.8717425184210017E-2</v>
      </c>
      <c r="E107">
        <v>69.327731092436977</v>
      </c>
      <c r="F107">
        <v>4.5420339436405957E-2</v>
      </c>
    </row>
    <row r="108" spans="1:6" x14ac:dyDescent="0.3">
      <c r="A108">
        <v>84</v>
      </c>
      <c r="B108">
        <v>5.4745732337616565E-2</v>
      </c>
      <c r="C108">
        <v>1.6511435583306935E-2</v>
      </c>
      <c r="E108">
        <v>70.16806722689077</v>
      </c>
      <c r="F108">
        <v>4.9740868471616989E-2</v>
      </c>
    </row>
    <row r="109" spans="1:6" x14ac:dyDescent="0.3">
      <c r="A109">
        <v>85</v>
      </c>
      <c r="B109">
        <v>5.5908108592138919E-2</v>
      </c>
      <c r="C109">
        <v>-4.3870268786518278E-2</v>
      </c>
      <c r="E109">
        <v>71.008403361344548</v>
      </c>
      <c r="F109">
        <v>5.0230226337755673E-2</v>
      </c>
    </row>
    <row r="110" spans="1:6" x14ac:dyDescent="0.3">
      <c r="A110">
        <v>86</v>
      </c>
      <c r="B110">
        <v>6.5859871882562371E-2</v>
      </c>
      <c r="C110">
        <v>-6.4139285921834183E-2</v>
      </c>
      <c r="E110">
        <v>71.848739495798327</v>
      </c>
      <c r="F110">
        <v>5.1319071855528871E-2</v>
      </c>
    </row>
    <row r="111" spans="1:6" x14ac:dyDescent="0.3">
      <c r="A111">
        <v>87</v>
      </c>
      <c r="B111">
        <v>9.9648903074087775E-2</v>
      </c>
      <c r="C111">
        <v>-6.4743041046623914E-2</v>
      </c>
      <c r="E111">
        <v>72.689075630252105</v>
      </c>
      <c r="F111">
        <v>5.1538771968860725E-2</v>
      </c>
    </row>
    <row r="112" spans="1:6" x14ac:dyDescent="0.3">
      <c r="A112">
        <v>88</v>
      </c>
      <c r="B112">
        <v>-5.4601001039785046E-2</v>
      </c>
      <c r="C112">
        <v>4.1503639794886422E-2</v>
      </c>
      <c r="E112">
        <v>73.529411764705884</v>
      </c>
      <c r="F112">
        <v>5.2693285264377894E-2</v>
      </c>
    </row>
    <row r="113" spans="1:6" x14ac:dyDescent="0.3">
      <c r="A113">
        <v>89</v>
      </c>
      <c r="B113">
        <v>-3.1402848001326755E-2</v>
      </c>
      <c r="C113">
        <v>-2.7959155958755658E-2</v>
      </c>
      <c r="E113">
        <v>74.369747899159677</v>
      </c>
      <c r="F113">
        <v>5.3900976429994189E-2</v>
      </c>
    </row>
    <row r="114" spans="1:6" x14ac:dyDescent="0.3">
      <c r="A114">
        <v>90</v>
      </c>
      <c r="B114">
        <v>9.9174662434784566E-2</v>
      </c>
      <c r="C114">
        <v>0.12056728625318142</v>
      </c>
      <c r="E114">
        <v>75.210084033613455</v>
      </c>
      <c r="F114">
        <v>5.4383904586541187E-2</v>
      </c>
    </row>
    <row r="115" spans="1:6" x14ac:dyDescent="0.3">
      <c r="A115">
        <v>91</v>
      </c>
      <c r="B115">
        <v>4.450448342415679E-2</v>
      </c>
      <c r="C115">
        <v>9.917638312346265E-2</v>
      </c>
      <c r="E115">
        <v>76.050420168067234</v>
      </c>
      <c r="F115">
        <v>6.3735009977737178E-2</v>
      </c>
    </row>
    <row r="116" spans="1:6" x14ac:dyDescent="0.3">
      <c r="A116">
        <v>92</v>
      </c>
      <c r="B116">
        <v>6.6304080772637943E-4</v>
      </c>
      <c r="C116">
        <v>3.3230750680994764E-2</v>
      </c>
      <c r="E116">
        <v>76.890756302521012</v>
      </c>
      <c r="F116">
        <v>6.5321128648738291E-2</v>
      </c>
    </row>
    <row r="117" spans="1:6" x14ac:dyDescent="0.3">
      <c r="A117">
        <v>93</v>
      </c>
      <c r="B117">
        <v>-3.1196761036903272E-3</v>
      </c>
      <c r="C117">
        <v>0.18127337276175892</v>
      </c>
      <c r="E117">
        <v>77.731092436974791</v>
      </c>
      <c r="F117">
        <v>6.7061023155815427E-2</v>
      </c>
    </row>
    <row r="118" spans="1:6" x14ac:dyDescent="0.3">
      <c r="A118">
        <v>94</v>
      </c>
      <c r="B118">
        <v>1.0984884686885712E-2</v>
      </c>
      <c r="C118">
        <v>1.2553362486774119E-2</v>
      </c>
      <c r="E118">
        <v>78.571428571428584</v>
      </c>
      <c r="F118">
        <v>6.764244820578813E-2</v>
      </c>
    </row>
    <row r="119" spans="1:6" x14ac:dyDescent="0.3">
      <c r="A119">
        <v>95</v>
      </c>
      <c r="B119">
        <v>5.2077436976690233E-2</v>
      </c>
      <c r="C119">
        <v>1.7704613519482798E-2</v>
      </c>
      <c r="E119">
        <v>79.411764705882362</v>
      </c>
      <c r="F119">
        <v>6.8852218126581988E-2</v>
      </c>
    </row>
    <row r="120" spans="1:6" x14ac:dyDescent="0.3">
      <c r="A120">
        <v>96</v>
      </c>
      <c r="B120">
        <v>-1.3550643028174656E-2</v>
      </c>
      <c r="C120">
        <v>8.1193091233962789E-2</v>
      </c>
      <c r="E120">
        <v>80.252100840336141</v>
      </c>
      <c r="F120">
        <v>6.9782050496173031E-2</v>
      </c>
    </row>
    <row r="121" spans="1:6" x14ac:dyDescent="0.3">
      <c r="A121">
        <v>97</v>
      </c>
      <c r="B121">
        <v>5.6379478671904723E-2</v>
      </c>
      <c r="C121">
        <v>-3.2746947436817213E-2</v>
      </c>
      <c r="E121">
        <v>81.092436974789919</v>
      </c>
      <c r="F121">
        <v>6.9920441070874015E-2</v>
      </c>
    </row>
    <row r="122" spans="1:6" x14ac:dyDescent="0.3">
      <c r="A122">
        <v>98</v>
      </c>
      <c r="B122">
        <v>2.3620398858628707E-2</v>
      </c>
      <c r="C122">
        <v>-3.5872367980957935E-2</v>
      </c>
      <c r="E122">
        <v>81.932773109243698</v>
      </c>
      <c r="F122">
        <v>7.12571679209235E-2</v>
      </c>
    </row>
    <row r="123" spans="1:6" x14ac:dyDescent="0.3">
      <c r="A123">
        <v>99</v>
      </c>
      <c r="B123">
        <v>3.6303010857495426E-2</v>
      </c>
      <c r="C123">
        <v>6.6743230580325968E-2</v>
      </c>
      <c r="E123">
        <v>82.77310924369749</v>
      </c>
      <c r="F123">
        <v>7.2555816212452398E-2</v>
      </c>
    </row>
    <row r="124" spans="1:6" x14ac:dyDescent="0.3">
      <c r="A124">
        <v>100</v>
      </c>
      <c r="B124">
        <v>-5.4700643000868215E-2</v>
      </c>
      <c r="C124">
        <v>-2.6659213887136712E-2</v>
      </c>
      <c r="E124">
        <v>83.613445378151269</v>
      </c>
      <c r="F124">
        <v>7.590417999699571E-2</v>
      </c>
    </row>
    <row r="125" spans="1:6" x14ac:dyDescent="0.3">
      <c r="A125">
        <v>101</v>
      </c>
      <c r="B125">
        <v>7.0716294528636564E-2</v>
      </c>
      <c r="C125">
        <v>2.2715532168193983E-2</v>
      </c>
      <c r="E125">
        <v>84.453781512605048</v>
      </c>
      <c r="F125">
        <v>7.6438245341429109E-2</v>
      </c>
    </row>
    <row r="126" spans="1:6" x14ac:dyDescent="0.3">
      <c r="A126">
        <v>102</v>
      </c>
      <c r="B126">
        <v>1.4582675078281787E-2</v>
      </c>
      <c r="C126">
        <v>-9.2869894105897327E-2</v>
      </c>
      <c r="E126">
        <v>85.294117647058826</v>
      </c>
      <c r="F126">
        <v>7.9074236261402933E-2</v>
      </c>
    </row>
    <row r="127" spans="1:6" x14ac:dyDescent="0.3">
      <c r="A127">
        <v>103</v>
      </c>
      <c r="B127">
        <v>8.5146003931448055E-3</v>
      </c>
      <c r="C127">
        <v>-4.4199556641297561E-3</v>
      </c>
      <c r="E127">
        <v>86.134453781512619</v>
      </c>
      <c r="F127">
        <v>8.1719879541820153E-2</v>
      </c>
    </row>
    <row r="128" spans="1:6" x14ac:dyDescent="0.3">
      <c r="A128">
        <v>104</v>
      </c>
      <c r="B128">
        <v>-8.0342514140448795E-2</v>
      </c>
      <c r="C128">
        <v>1.2381990153500014E-2</v>
      </c>
      <c r="E128">
        <v>86.974789915966397</v>
      </c>
      <c r="F128">
        <v>8.449609789510755E-2</v>
      </c>
    </row>
    <row r="129" spans="1:6" x14ac:dyDescent="0.3">
      <c r="A129">
        <v>105</v>
      </c>
      <c r="B129">
        <v>-4.4640499745388085E-2</v>
      </c>
      <c r="C129">
        <v>6.8882513481253738E-3</v>
      </c>
      <c r="E129">
        <v>87.815126050420176</v>
      </c>
      <c r="F129">
        <v>9.3431826696830547E-2</v>
      </c>
    </row>
    <row r="130" spans="1:6" x14ac:dyDescent="0.3">
      <c r="A130">
        <v>106</v>
      </c>
      <c r="B130">
        <v>3.6827922787635074E-2</v>
      </c>
      <c r="C130">
        <v>-6.9615298665090822E-2</v>
      </c>
      <c r="E130">
        <v>88.655462184873954</v>
      </c>
      <c r="F130">
        <v>9.5317608903665127E-2</v>
      </c>
    </row>
    <row r="131" spans="1:6" x14ac:dyDescent="0.3">
      <c r="A131">
        <v>107</v>
      </c>
      <c r="B131">
        <v>-0.12497293864188688</v>
      </c>
      <c r="C131">
        <v>5.5874881594659018E-2</v>
      </c>
      <c r="E131">
        <v>89.495798319327733</v>
      </c>
      <c r="F131">
        <v>0.10080568813686776</v>
      </c>
    </row>
    <row r="132" spans="1:6" x14ac:dyDescent="0.3">
      <c r="A132">
        <v>108</v>
      </c>
      <c r="B132">
        <v>-1.7207468927686969E-2</v>
      </c>
      <c r="C132">
        <v>8.7127909998560987E-2</v>
      </c>
      <c r="E132">
        <v>90.336134453781526</v>
      </c>
      <c r="F132">
        <v>0.1030462414378214</v>
      </c>
    </row>
    <row r="133" spans="1:6" x14ac:dyDescent="0.3">
      <c r="A133">
        <v>109</v>
      </c>
      <c r="B133">
        <v>-8.4826247523517195E-2</v>
      </c>
      <c r="C133">
        <v>-8.7360066742597775E-4</v>
      </c>
      <c r="E133">
        <v>91.176470588235304</v>
      </c>
      <c r="F133">
        <v>0.10522712867518609</v>
      </c>
    </row>
    <row r="134" spans="1:6" x14ac:dyDescent="0.3">
      <c r="A134">
        <v>110</v>
      </c>
      <c r="B134">
        <v>0.11351479237967446</v>
      </c>
      <c r="C134">
        <v>8.9348900791002828E-3</v>
      </c>
      <c r="E134">
        <v>92.016806722689083</v>
      </c>
      <c r="F134">
        <v>0.12086728187258507</v>
      </c>
    </row>
    <row r="135" spans="1:6" x14ac:dyDescent="0.3">
      <c r="A135">
        <v>111</v>
      </c>
      <c r="B135">
        <v>-5.0011991608788664E-2</v>
      </c>
      <c r="C135">
        <v>4.7852379319695687E-2</v>
      </c>
      <c r="E135">
        <v>92.857142857142861</v>
      </c>
      <c r="F135">
        <v>0.12244968245877474</v>
      </c>
    </row>
    <row r="136" spans="1:6" x14ac:dyDescent="0.3">
      <c r="A136">
        <v>112</v>
      </c>
      <c r="B136">
        <v>-9.9501055401150729E-2</v>
      </c>
      <c r="C136">
        <v>-1.2945420043267236E-2</v>
      </c>
      <c r="E136">
        <v>93.69747899159664</v>
      </c>
      <c r="F136">
        <v>0.12621048476513674</v>
      </c>
    </row>
    <row r="137" spans="1:6" x14ac:dyDescent="0.3">
      <c r="A137">
        <v>113</v>
      </c>
      <c r="B137">
        <v>3.4436787142261005E-2</v>
      </c>
      <c r="C137">
        <v>0.14116478367136426</v>
      </c>
      <c r="E137">
        <v>94.537815126050432</v>
      </c>
      <c r="F137">
        <v>0.14368086654761944</v>
      </c>
    </row>
    <row r="138" spans="1:6" x14ac:dyDescent="0.3">
      <c r="A138">
        <v>114</v>
      </c>
      <c r="B138">
        <v>4.8386428959662824E-2</v>
      </c>
      <c r="C138">
        <v>7.248085291292225E-2</v>
      </c>
      <c r="E138">
        <v>95.378151260504211</v>
      </c>
      <c r="F138">
        <v>0.17560157081362526</v>
      </c>
    </row>
    <row r="139" spans="1:6" x14ac:dyDescent="0.3">
      <c r="A139">
        <v>115</v>
      </c>
      <c r="B139">
        <v>-8.536401815058825E-2</v>
      </c>
      <c r="C139">
        <v>-1.9564288861531887E-2</v>
      </c>
      <c r="E139">
        <v>96.21848739495799</v>
      </c>
      <c r="F139">
        <v>0.1781536966580686</v>
      </c>
    </row>
    <row r="140" spans="1:6" x14ac:dyDescent="0.3">
      <c r="A140">
        <v>116</v>
      </c>
      <c r="B140">
        <v>9.574746469287973E-2</v>
      </c>
      <c r="C140">
        <v>-3.0426336044141439E-2</v>
      </c>
      <c r="E140">
        <v>97.058823529411768</v>
      </c>
      <c r="F140">
        <v>0.18533393626750461</v>
      </c>
    </row>
    <row r="141" spans="1:6" x14ac:dyDescent="0.3">
      <c r="A141">
        <v>117</v>
      </c>
      <c r="B141">
        <v>-6.5318413074441336E-3</v>
      </c>
      <c r="C141">
        <v>-3.2176763416685739E-2</v>
      </c>
      <c r="E141">
        <v>97.899159663865547</v>
      </c>
      <c r="F141">
        <v>0.18649339458978484</v>
      </c>
    </row>
    <row r="142" spans="1:6" x14ac:dyDescent="0.3">
      <c r="A142">
        <v>118</v>
      </c>
      <c r="B142">
        <v>8.5048245357011082E-2</v>
      </c>
      <c r="C142">
        <v>-0.15483355373080987</v>
      </c>
      <c r="E142">
        <v>98.739495798319339</v>
      </c>
      <c r="F142">
        <v>0.21974194868796598</v>
      </c>
    </row>
    <row r="143" spans="1:6" ht="15" thickBot="1" x14ac:dyDescent="0.35">
      <c r="A143" s="79">
        <v>119</v>
      </c>
      <c r="B143" s="79">
        <v>-1.5620754234890127E-2</v>
      </c>
      <c r="C143" s="79">
        <v>5.2985716906410116E-2</v>
      </c>
      <c r="E143" s="79">
        <v>99.579831932773118</v>
      </c>
      <c r="F143" s="79">
        <v>0.23030757868104912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66F7-1E04-4238-8212-EC35AF8B2EAC}">
  <dimension ref="A1:I143"/>
  <sheetViews>
    <sheetView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0.50218029146327892</v>
      </c>
    </row>
    <row r="5" spans="1:9" x14ac:dyDescent="0.3">
      <c r="A5" t="s">
        <v>82</v>
      </c>
      <c r="B5">
        <v>0.25218504513414375</v>
      </c>
    </row>
    <row r="6" spans="1:9" x14ac:dyDescent="0.3">
      <c r="A6" t="s">
        <v>83</v>
      </c>
      <c r="B6">
        <v>0.24579346432332447</v>
      </c>
    </row>
    <row r="7" spans="1:9" x14ac:dyDescent="0.3">
      <c r="A7" t="s">
        <v>84</v>
      </c>
      <c r="B7">
        <v>6.0445840341557804E-2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0.14415970469372269</v>
      </c>
      <c r="D12">
        <v>0.14415970469372269</v>
      </c>
      <c r="E12">
        <v>39.455817363250745</v>
      </c>
      <c r="F12">
        <v>5.9263648768944956E-9</v>
      </c>
    </row>
    <row r="13" spans="1:9" x14ac:dyDescent="0.3">
      <c r="A13" t="s">
        <v>88</v>
      </c>
      <c r="B13">
        <v>117</v>
      </c>
      <c r="C13">
        <v>0.42748285490786037</v>
      </c>
      <c r="D13">
        <v>3.653699614597097E-3</v>
      </c>
    </row>
    <row r="14" spans="1:9" ht="15" thickBot="1" x14ac:dyDescent="0.35">
      <c r="A14" s="79" t="s">
        <v>89</v>
      </c>
      <c r="B14" s="79">
        <v>118</v>
      </c>
      <c r="C14" s="79">
        <v>0.57164255960158306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3.3402067566636415E-3</v>
      </c>
      <c r="C17">
        <v>5.7328152370465226E-3</v>
      </c>
      <c r="D17">
        <v>0.58264685299442442</v>
      </c>
      <c r="E17">
        <v>0.56125228160100682</v>
      </c>
      <c r="F17">
        <v>-8.0133334132407707E-3</v>
      </c>
      <c r="G17">
        <v>1.4693746926568054E-2</v>
      </c>
      <c r="H17">
        <v>-8.0133334132407707E-3</v>
      </c>
      <c r="I17">
        <v>1.4693746926568054E-2</v>
      </c>
    </row>
    <row r="18" spans="1:9" ht="15" thickBot="1" x14ac:dyDescent="0.35">
      <c r="A18" s="79" t="s">
        <v>103</v>
      </c>
      <c r="B18" s="79">
        <v>0.66978689871845321</v>
      </c>
      <c r="C18" s="79">
        <v>0.10663042151971905</v>
      </c>
      <c r="D18" s="79">
        <v>6.2813865796693884</v>
      </c>
      <c r="E18" s="143">
        <v>5.9263648768946453E-9</v>
      </c>
      <c r="F18" s="79">
        <v>0.45861093647312651</v>
      </c>
      <c r="G18" s="79">
        <v>0.88096286096377985</v>
      </c>
      <c r="H18" s="79">
        <v>0.45861093647312651</v>
      </c>
      <c r="I18" s="79">
        <v>0.88096286096377985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-1.2868932646972165E-2</v>
      </c>
      <c r="C25">
        <v>-2.0104248182650039E-2</v>
      </c>
      <c r="E25">
        <v>0.42016806722689076</v>
      </c>
      <c r="F25">
        <v>-0.22461451514930963</v>
      </c>
    </row>
    <row r="26" spans="1:9" x14ac:dyDescent="0.3">
      <c r="A26">
        <v>2</v>
      </c>
      <c r="B26">
        <v>4.4911799693495597E-2</v>
      </c>
      <c r="C26">
        <v>1.0780302083557215E-2</v>
      </c>
      <c r="E26">
        <v>1.2605042016806722</v>
      </c>
      <c r="F26">
        <v>-0.14837779401256251</v>
      </c>
    </row>
    <row r="27" spans="1:9" x14ac:dyDescent="0.3">
      <c r="A27">
        <v>3</v>
      </c>
      <c r="B27">
        <v>-2.1007027342854036E-4</v>
      </c>
      <c r="C27">
        <v>-8.6484667471978832E-2</v>
      </c>
      <c r="E27">
        <v>2.1008403361344539</v>
      </c>
      <c r="F27">
        <v>-0.13103237624234915</v>
      </c>
    </row>
    <row r="28" spans="1:9" x14ac:dyDescent="0.3">
      <c r="A28">
        <v>4</v>
      </c>
      <c r="B28">
        <v>3.4802937411021355E-2</v>
      </c>
      <c r="C28">
        <v>-1.184657522949915E-2</v>
      </c>
      <c r="E28">
        <v>2.9411764705882351</v>
      </c>
      <c r="F28">
        <v>-0.12441326649748063</v>
      </c>
    </row>
    <row r="29" spans="1:9" x14ac:dyDescent="0.3">
      <c r="A29">
        <v>5</v>
      </c>
      <c r="B29">
        <v>3.6542346152375442E-2</v>
      </c>
      <c r="C29">
        <v>-3.9444134469155581E-2</v>
      </c>
      <c r="E29">
        <v>3.7815126050420167</v>
      </c>
      <c r="F29">
        <v>-0.12204326779504253</v>
      </c>
    </row>
    <row r="30" spans="1:9" x14ac:dyDescent="0.3">
      <c r="A30">
        <v>6</v>
      </c>
      <c r="B30">
        <v>2.5170518551202531E-2</v>
      </c>
      <c r="C30">
        <v>9.3214358324340454E-2</v>
      </c>
      <c r="E30">
        <v>4.6218487394957988</v>
      </c>
      <c r="F30">
        <v>-0.11713946168729764</v>
      </c>
    </row>
    <row r="31" spans="1:9" x14ac:dyDescent="0.3">
      <c r="A31">
        <v>7</v>
      </c>
      <c r="B31">
        <v>2.3346500717519238E-2</v>
      </c>
      <c r="C31">
        <v>-1.3265529564596701E-3</v>
      </c>
      <c r="E31">
        <v>5.46218487394958</v>
      </c>
      <c r="F31">
        <v>-9.8894470492071535E-2</v>
      </c>
    </row>
    <row r="32" spans="1:9" x14ac:dyDescent="0.3">
      <c r="A32">
        <v>8</v>
      </c>
      <c r="B32">
        <v>-9.7273650990065425E-3</v>
      </c>
      <c r="C32">
        <v>-4.3623952678535881E-2</v>
      </c>
      <c r="E32">
        <v>6.302521008403362</v>
      </c>
      <c r="F32">
        <v>-9.0966181310456778E-2</v>
      </c>
    </row>
    <row r="33" spans="1:6" x14ac:dyDescent="0.3">
      <c r="A33">
        <v>9</v>
      </c>
      <c r="B33">
        <v>3.6465207462251618E-2</v>
      </c>
      <c r="C33">
        <v>-3.379371131882733E-3</v>
      </c>
      <c r="E33">
        <v>7.1428571428571432</v>
      </c>
      <c r="F33">
        <v>-8.6694737745407369E-2</v>
      </c>
    </row>
    <row r="34" spans="1:6" x14ac:dyDescent="0.3">
      <c r="A34">
        <v>10</v>
      </c>
      <c r="B34">
        <v>-1.484649915228683E-2</v>
      </c>
      <c r="C34">
        <v>8.3308184871260751E-2</v>
      </c>
      <c r="E34">
        <v>7.9831932773109244</v>
      </c>
      <c r="F34">
        <v>-8.1157127946161881E-2</v>
      </c>
    </row>
    <row r="35" spans="1:6" x14ac:dyDescent="0.3">
      <c r="A35">
        <v>11</v>
      </c>
      <c r="B35">
        <v>7.8455585243621508E-4</v>
      </c>
      <c r="C35">
        <v>-7.8696080063516832E-2</v>
      </c>
      <c r="E35">
        <v>8.8235294117647065</v>
      </c>
      <c r="F35">
        <v>-7.9958687021016286E-2</v>
      </c>
    </row>
    <row r="36" spans="1:6" x14ac:dyDescent="0.3">
      <c r="A36">
        <v>12</v>
      </c>
      <c r="B36">
        <v>3.2285618421723991E-2</v>
      </c>
      <c r="C36">
        <v>-3.3353059257879965E-2</v>
      </c>
      <c r="E36">
        <v>9.6638655462184886</v>
      </c>
      <c r="F36">
        <v>-7.7911524211080621E-2</v>
      </c>
    </row>
    <row r="37" spans="1:6" x14ac:dyDescent="0.3">
      <c r="A37">
        <v>13</v>
      </c>
      <c r="B37">
        <v>2.3533347366925916E-2</v>
      </c>
      <c r="C37">
        <v>1.3357190277576945E-2</v>
      </c>
      <c r="E37">
        <v>10.504201680672269</v>
      </c>
      <c r="F37">
        <v>-6.1572457362051282E-2</v>
      </c>
    </row>
    <row r="38" spans="1:6" x14ac:dyDescent="0.3">
      <c r="A38">
        <v>14</v>
      </c>
      <c r="B38">
        <v>1.0825437470503029E-2</v>
      </c>
      <c r="C38">
        <v>-9.9576791992465191E-3</v>
      </c>
      <c r="E38">
        <v>11.344537815126051</v>
      </c>
      <c r="F38">
        <v>-5.9467508653489529E-2</v>
      </c>
    </row>
    <row r="39" spans="1:6" x14ac:dyDescent="0.3">
      <c r="A39">
        <v>15</v>
      </c>
      <c r="B39">
        <v>3.6044057106787278E-2</v>
      </c>
      <c r="C39">
        <v>2.0275794581475839E-3</v>
      </c>
      <c r="E39">
        <v>12.184873949579833</v>
      </c>
      <c r="F39">
        <v>-5.8529910117174559E-2</v>
      </c>
    </row>
    <row r="40" spans="1:6" x14ac:dyDescent="0.3">
      <c r="A40">
        <v>16</v>
      </c>
      <c r="B40">
        <v>-2.0918545561061479E-3</v>
      </c>
      <c r="C40">
        <v>1.5380339944466236E-2</v>
      </c>
      <c r="E40">
        <v>13.025210084033613</v>
      </c>
      <c r="F40">
        <v>-5.3351317777542422E-2</v>
      </c>
    </row>
    <row r="41" spans="1:6" x14ac:dyDescent="0.3">
      <c r="A41">
        <v>17</v>
      </c>
      <c r="B41">
        <v>2.1329323966150039E-2</v>
      </c>
      <c r="C41">
        <v>-1.734514866235182E-2</v>
      </c>
      <c r="E41">
        <v>13.865546218487395</v>
      </c>
      <c r="F41">
        <v>-5.2971425899450461E-2</v>
      </c>
    </row>
    <row r="42" spans="1:6" x14ac:dyDescent="0.3">
      <c r="A42">
        <v>18</v>
      </c>
      <c r="B42">
        <v>3.2266207281733794E-2</v>
      </c>
      <c r="C42">
        <v>-3.085547358611607E-2</v>
      </c>
      <c r="E42">
        <v>14.705882352941178</v>
      </c>
      <c r="F42">
        <v>-5.0502294289401624E-2</v>
      </c>
    </row>
    <row r="43" spans="1:6" x14ac:dyDescent="0.3">
      <c r="A43">
        <v>19</v>
      </c>
      <c r="B43">
        <v>-1.2333728035822623E-2</v>
      </c>
      <c r="C43">
        <v>5.2559820343816163E-2</v>
      </c>
      <c r="E43">
        <v>15.546218487394958</v>
      </c>
      <c r="F43">
        <v>-5.03217812186856E-2</v>
      </c>
    </row>
    <row r="44" spans="1:6" x14ac:dyDescent="0.3">
      <c r="A44">
        <v>20</v>
      </c>
      <c r="B44">
        <v>-1.0549460628876788E-2</v>
      </c>
      <c r="C44">
        <v>-0.12048291561347235</v>
      </c>
      <c r="E44">
        <v>16.386554621848738</v>
      </c>
      <c r="F44">
        <v>-4.8829959396399183E-2</v>
      </c>
    </row>
    <row r="45" spans="1:6" x14ac:dyDescent="0.3">
      <c r="A45">
        <v>21</v>
      </c>
      <c r="B45">
        <v>5.0523923211147473E-2</v>
      </c>
      <c r="C45">
        <v>8.3610090686193392E-2</v>
      </c>
      <c r="E45">
        <v>17.22689075630252</v>
      </c>
      <c r="F45">
        <v>-4.7954700824845251E-2</v>
      </c>
    </row>
    <row r="46" spans="1:6" x14ac:dyDescent="0.3">
      <c r="A46">
        <v>22</v>
      </c>
      <c r="B46">
        <v>-1.2795599542282677E-2</v>
      </c>
      <c r="C46">
        <v>1.3728385716423042E-3</v>
      </c>
      <c r="E46">
        <v>18.067226890756302</v>
      </c>
      <c r="F46">
        <v>-4.7878793846068246E-2</v>
      </c>
    </row>
    <row r="47" spans="1:6" x14ac:dyDescent="0.3">
      <c r="A47">
        <v>23</v>
      </c>
      <c r="B47">
        <v>1.5791044913704193E-2</v>
      </c>
      <c r="C47">
        <v>2.8447797932648816E-2</v>
      </c>
      <c r="E47">
        <v>18.907563025210084</v>
      </c>
      <c r="F47">
        <v>-4.7434095483738038E-2</v>
      </c>
    </row>
    <row r="48" spans="1:6" x14ac:dyDescent="0.3">
      <c r="A48">
        <v>24</v>
      </c>
      <c r="B48">
        <v>1.7603098183187876E-2</v>
      </c>
      <c r="C48">
        <v>2.9144096132650083E-2</v>
      </c>
      <c r="E48">
        <v>19.747899159663863</v>
      </c>
      <c r="F48">
        <v>-4.6226106158724016E-2</v>
      </c>
    </row>
    <row r="49" spans="1:6" x14ac:dyDescent="0.3">
      <c r="A49">
        <v>25</v>
      </c>
      <c r="B49">
        <v>-1.3223803240176519E-2</v>
      </c>
      <c r="C49">
        <v>4.3324066215976155E-2</v>
      </c>
      <c r="E49">
        <v>20.588235294117645</v>
      </c>
      <c r="F49">
        <v>-4.0040549050855245E-2</v>
      </c>
    </row>
    <row r="50" spans="1:6" x14ac:dyDescent="0.3">
      <c r="A50">
        <v>26</v>
      </c>
      <c r="B50">
        <v>3.2611720474759576E-2</v>
      </c>
      <c r="C50">
        <v>-2.1247802138590552E-2</v>
      </c>
      <c r="E50">
        <v>21.428571428571427</v>
      </c>
      <c r="F50">
        <v>-3.9125798895576019E-2</v>
      </c>
    </row>
    <row r="51" spans="1:6" x14ac:dyDescent="0.3">
      <c r="A51">
        <v>27</v>
      </c>
      <c r="B51">
        <v>-4.2538697157433719E-2</v>
      </c>
      <c r="C51">
        <v>-1.599121295974084E-2</v>
      </c>
      <c r="E51">
        <v>22.268907563025209</v>
      </c>
      <c r="F51">
        <v>-3.8645962838078807E-2</v>
      </c>
    </row>
    <row r="52" spans="1:6" x14ac:dyDescent="0.3">
      <c r="A52">
        <v>28</v>
      </c>
      <c r="B52">
        <v>-1.1313509480045216E-2</v>
      </c>
      <c r="C52">
        <v>-3.7516449916353965E-2</v>
      </c>
      <c r="E52">
        <v>23.109243697478991</v>
      </c>
      <c r="F52">
        <v>-3.3853508019027673E-2</v>
      </c>
    </row>
    <row r="53" spans="1:6" x14ac:dyDescent="0.3">
      <c r="A53">
        <v>29</v>
      </c>
      <c r="B53">
        <v>7.827484675664885E-2</v>
      </c>
      <c r="C53">
        <v>-2.4477981182972071E-2</v>
      </c>
      <c r="E53">
        <v>23.949579831932773</v>
      </c>
      <c r="F53">
        <v>-3.3398278387489246E-2</v>
      </c>
    </row>
    <row r="54" spans="1:6" x14ac:dyDescent="0.3">
      <c r="A54">
        <v>30</v>
      </c>
      <c r="B54">
        <v>5.5992804208297216E-3</v>
      </c>
      <c r="C54">
        <v>3.9710029007164041E-2</v>
      </c>
      <c r="E54">
        <v>24.789915966386552</v>
      </c>
      <c r="F54">
        <v>-3.2973180829622202E-2</v>
      </c>
    </row>
    <row r="55" spans="1:6" x14ac:dyDescent="0.3">
      <c r="A55">
        <v>31</v>
      </c>
      <c r="B55">
        <v>-6.8892602039657917E-3</v>
      </c>
      <c r="C55">
        <v>-2.8586722042953858E-3</v>
      </c>
      <c r="E55">
        <v>25.630252100840334</v>
      </c>
      <c r="F55">
        <v>-3.0677948334659668E-2</v>
      </c>
    </row>
    <row r="56" spans="1:6" x14ac:dyDescent="0.3">
      <c r="A56">
        <v>32</v>
      </c>
      <c r="B56">
        <v>-4.2461614083510311E-2</v>
      </c>
      <c r="C56">
        <v>-5.6432856408561223E-2</v>
      </c>
      <c r="E56">
        <v>26.470588235294116</v>
      </c>
      <c r="F56">
        <v>-2.9992065955119312E-2</v>
      </c>
    </row>
    <row r="57" spans="1:6" x14ac:dyDescent="0.3">
      <c r="A57">
        <v>33</v>
      </c>
      <c r="B57">
        <v>-8.8763534149167624E-3</v>
      </c>
      <c r="C57">
        <v>-3.8557742068821274E-2</v>
      </c>
      <c r="E57">
        <v>27.310924369747898</v>
      </c>
      <c r="F57">
        <v>-2.9526554038044703E-2</v>
      </c>
    </row>
    <row r="58" spans="1:6" x14ac:dyDescent="0.3">
      <c r="A58">
        <v>34</v>
      </c>
      <c r="B58">
        <v>4.8385721099333125E-2</v>
      </c>
      <c r="C58">
        <v>3.4794620397153378E-3</v>
      </c>
      <c r="E58">
        <v>28.15126050420168</v>
      </c>
      <c r="F58">
        <v>-2.6259286685865389E-2</v>
      </c>
    </row>
    <row r="59" spans="1:6" x14ac:dyDescent="0.3">
      <c r="A59">
        <v>35</v>
      </c>
      <c r="B59">
        <v>-1.7926145883636786E-2</v>
      </c>
      <c r="C59">
        <v>8.5133136597553116E-2</v>
      </c>
      <c r="E59">
        <v>28.991596638655462</v>
      </c>
      <c r="F59">
        <v>-2.417379528691609E-2</v>
      </c>
    </row>
    <row r="60" spans="1:6" x14ac:dyDescent="0.3">
      <c r="A60">
        <v>36</v>
      </c>
      <c r="B60">
        <v>3.151071275705556E-2</v>
      </c>
      <c r="C60">
        <v>8.8884365353915154E-3</v>
      </c>
      <c r="E60">
        <v>29.831932773109244</v>
      </c>
      <c r="F60">
        <v>-1.9237584318667771E-2</v>
      </c>
    </row>
    <row r="61" spans="1:6" x14ac:dyDescent="0.3">
      <c r="A61">
        <v>37</v>
      </c>
      <c r="B61">
        <v>-1.2381800138587454E-2</v>
      </c>
      <c r="C61">
        <v>-3.5572900686257798E-2</v>
      </c>
      <c r="E61">
        <v>30.672268907563023</v>
      </c>
      <c r="F61">
        <v>-1.5185855828663216E-2</v>
      </c>
    </row>
    <row r="62" spans="1:6" x14ac:dyDescent="0.3">
      <c r="A62">
        <v>38</v>
      </c>
      <c r="B62">
        <v>5.072421794176285E-2</v>
      </c>
      <c r="C62">
        <v>-2.1274481117451192E-2</v>
      </c>
      <c r="E62">
        <v>31.512605042016805</v>
      </c>
      <c r="F62">
        <v>-1.3481383018361751E-2</v>
      </c>
    </row>
    <row r="63" spans="1:6" x14ac:dyDescent="0.3">
      <c r="A63">
        <v>39</v>
      </c>
      <c r="B63">
        <v>9.1201760411549603E-3</v>
      </c>
      <c r="C63">
        <v>5.4276054600689877E-2</v>
      </c>
      <c r="E63">
        <v>32.352941176470587</v>
      </c>
      <c r="F63">
        <v>-1.1422760970640372E-2</v>
      </c>
    </row>
    <row r="64" spans="1:6" x14ac:dyDescent="0.3">
      <c r="A64">
        <v>40</v>
      </c>
      <c r="B64">
        <v>1.8031619136035487E-2</v>
      </c>
      <c r="C64">
        <v>-3.1513002154397236E-2</v>
      </c>
      <c r="E64">
        <v>33.193277310924366</v>
      </c>
      <c r="F64">
        <v>-1.1282969196115614E-2</v>
      </c>
    </row>
    <row r="65" spans="1:6" x14ac:dyDescent="0.3">
      <c r="A65">
        <v>41</v>
      </c>
      <c r="B65">
        <v>-6.8844490036402903E-3</v>
      </c>
      <c r="C65">
        <v>4.6980568780317387E-2</v>
      </c>
      <c r="E65">
        <v>34.033613445378151</v>
      </c>
      <c r="F65">
        <v>-1.0821062014037059E-2</v>
      </c>
    </row>
    <row r="66" spans="1:6" x14ac:dyDescent="0.3">
      <c r="A66">
        <v>42</v>
      </c>
      <c r="B66">
        <v>4.6710615323471583E-3</v>
      </c>
      <c r="C66">
        <v>0.1612656514596143</v>
      </c>
      <c r="E66">
        <v>34.87394957983193</v>
      </c>
      <c r="F66">
        <v>-9.7479324082611774E-3</v>
      </c>
    </row>
    <row r="67" spans="1:6" x14ac:dyDescent="0.3">
      <c r="A67">
        <v>43</v>
      </c>
      <c r="B67">
        <v>1.0692707590237216E-2</v>
      </c>
      <c r="C67">
        <v>6.564521936987662E-2</v>
      </c>
      <c r="E67">
        <v>35.714285714285715</v>
      </c>
      <c r="F67">
        <v>-9.5625588496236185E-3</v>
      </c>
    </row>
    <row r="68" spans="1:6" x14ac:dyDescent="0.3">
      <c r="A68">
        <v>44</v>
      </c>
      <c r="B68">
        <v>3.8202404946976631E-2</v>
      </c>
      <c r="C68">
        <v>-5.7439989265644406E-2</v>
      </c>
      <c r="E68">
        <v>36.554621848739494</v>
      </c>
      <c r="F68">
        <v>-5.4089839599824538E-3</v>
      </c>
    </row>
    <row r="69" spans="1:6" x14ac:dyDescent="0.3">
      <c r="A69">
        <v>45</v>
      </c>
      <c r="B69">
        <v>3.1292668937879194E-2</v>
      </c>
      <c r="C69">
        <v>4.5411088431018605E-2</v>
      </c>
      <c r="E69">
        <v>37.394957983193279</v>
      </c>
      <c r="F69">
        <v>-4.4672081498121326E-3</v>
      </c>
    </row>
    <row r="70" spans="1:6" x14ac:dyDescent="0.3">
      <c r="A70">
        <v>46</v>
      </c>
      <c r="B70">
        <v>1.6649709321023484E-2</v>
      </c>
      <c r="C70">
        <v>-4.7327657655683156E-2</v>
      </c>
      <c r="E70">
        <v>38.235294117647058</v>
      </c>
      <c r="F70">
        <v>-3.0219504826151499E-3</v>
      </c>
    </row>
    <row r="71" spans="1:6" x14ac:dyDescent="0.3">
      <c r="A71">
        <v>47</v>
      </c>
      <c r="B71">
        <v>2.1488717753393567E-2</v>
      </c>
      <c r="C71">
        <v>-3.1051276603017187E-2</v>
      </c>
      <c r="E71">
        <v>39.075630252100837</v>
      </c>
      <c r="F71">
        <v>-2.9017883167801414E-3</v>
      </c>
    </row>
    <row r="72" spans="1:6" x14ac:dyDescent="0.3">
      <c r="A72">
        <v>48</v>
      </c>
      <c r="B72">
        <v>2.7963908140872316E-2</v>
      </c>
      <c r="C72">
        <v>-7.8285689359557917E-2</v>
      </c>
      <c r="E72">
        <v>39.915966386554622</v>
      </c>
      <c r="F72">
        <v>-1.0674408361559741E-3</v>
      </c>
    </row>
    <row r="73" spans="1:6" x14ac:dyDescent="0.3">
      <c r="A73">
        <v>49</v>
      </c>
      <c r="B73">
        <v>-1.3075853571252119E-2</v>
      </c>
      <c r="C73">
        <v>0.12567483362018719</v>
      </c>
      <c r="E73">
        <v>40.756302521008401</v>
      </c>
      <c r="F73">
        <v>8.6775827125651003E-4</v>
      </c>
    </row>
    <row r="74" spans="1:6" x14ac:dyDescent="0.3">
      <c r="A74">
        <v>50</v>
      </c>
      <c r="B74">
        <v>3.102522207050934E-2</v>
      </c>
      <c r="C74">
        <v>-2.6648644163577158E-2</v>
      </c>
      <c r="E74">
        <v>41.596638655462186</v>
      </c>
      <c r="F74">
        <v>1.4107336956177246E-3</v>
      </c>
    </row>
    <row r="75" spans="1:6" x14ac:dyDescent="0.3">
      <c r="A75">
        <v>51</v>
      </c>
      <c r="B75">
        <v>1.5672480618516213E-2</v>
      </c>
      <c r="C75">
        <v>-2.0139688768328345E-2</v>
      </c>
      <c r="E75">
        <v>42.436974789915965</v>
      </c>
      <c r="F75">
        <v>2.1981885121330732E-3</v>
      </c>
    </row>
    <row r="76" spans="1:6" x14ac:dyDescent="0.3">
      <c r="A76">
        <v>52</v>
      </c>
      <c r="B76">
        <v>2.3000280331380387E-3</v>
      </c>
      <c r="C76">
        <v>4.8530891635914244E-2</v>
      </c>
      <c r="E76">
        <v>43.27731092436975</v>
      </c>
      <c r="F76">
        <v>3.7319585517961358E-3</v>
      </c>
    </row>
    <row r="77" spans="1:6" x14ac:dyDescent="0.3">
      <c r="A77">
        <v>53</v>
      </c>
      <c r="B77">
        <v>3.3502098007541135E-2</v>
      </c>
      <c r="C77">
        <v>1.9895556681280353E-2</v>
      </c>
      <c r="E77">
        <v>44.117647058823529</v>
      </c>
      <c r="F77">
        <v>3.9841753037982196E-3</v>
      </c>
    </row>
    <row r="78" spans="1:6" x14ac:dyDescent="0.3">
      <c r="A78">
        <v>54</v>
      </c>
      <c r="B78">
        <v>1.588150689783574E-2</v>
      </c>
      <c r="C78">
        <v>2.9053778146728222E-2</v>
      </c>
      <c r="E78">
        <v>44.957983193277308</v>
      </c>
      <c r="F78">
        <v>4.3765779069321808E-3</v>
      </c>
    </row>
    <row r="79" spans="1:6" x14ac:dyDescent="0.3">
      <c r="A79">
        <v>55</v>
      </c>
      <c r="B79">
        <v>6.5872944821847527E-3</v>
      </c>
      <c r="C79">
        <v>1.6566496544241527E-2</v>
      </c>
      <c r="E79">
        <v>45.798319327731093</v>
      </c>
      <c r="F79">
        <v>1.03790032424932E-2</v>
      </c>
    </row>
    <row r="80" spans="1:6" x14ac:dyDescent="0.3">
      <c r="A80">
        <v>56</v>
      </c>
      <c r="B80">
        <v>6.1306091895292056E-2</v>
      </c>
      <c r="C80">
        <v>2.032835231077805E-2</v>
      </c>
      <c r="E80">
        <v>46.638655462184872</v>
      </c>
      <c r="F80">
        <v>1.1363918336169022E-2</v>
      </c>
    </row>
    <row r="81" spans="1:6" x14ac:dyDescent="0.3">
      <c r="A81">
        <v>57</v>
      </c>
      <c r="B81">
        <v>-5.8701289026418281E-3</v>
      </c>
      <c r="C81">
        <v>9.6020874544379634E-3</v>
      </c>
      <c r="E81">
        <v>47.478991596638657</v>
      </c>
      <c r="F81">
        <v>1.2591536079800448E-2</v>
      </c>
    </row>
    <row r="82" spans="1:6" x14ac:dyDescent="0.3">
      <c r="A82">
        <v>58</v>
      </c>
      <c r="B82">
        <v>-2.3364618707114697E-2</v>
      </c>
      <c r="C82">
        <v>-2.4514175138953549E-2</v>
      </c>
      <c r="E82">
        <v>48.319327731092436</v>
      </c>
      <c r="F82">
        <v>1.3288485388360088E-2</v>
      </c>
    </row>
    <row r="83" spans="1:6" x14ac:dyDescent="0.3">
      <c r="A83">
        <v>59</v>
      </c>
      <c r="B83">
        <v>5.8275535463899568E-3</v>
      </c>
      <c r="C83">
        <v>-1.6648615560427016E-2</v>
      </c>
      <c r="E83">
        <v>49.159663865546214</v>
      </c>
      <c r="F83">
        <v>1.6497237373806015E-2</v>
      </c>
    </row>
    <row r="84" spans="1:6" x14ac:dyDescent="0.3">
      <c r="A84">
        <v>60</v>
      </c>
      <c r="B84">
        <v>4.0062266198878871E-2</v>
      </c>
      <c r="C84">
        <v>-5.1345235394994485E-2</v>
      </c>
      <c r="E84">
        <v>50</v>
      </c>
      <c r="F84">
        <v>1.838584875648629E-2</v>
      </c>
    </row>
    <row r="85" spans="1:6" x14ac:dyDescent="0.3">
      <c r="A85">
        <v>61</v>
      </c>
      <c r="B85">
        <v>1.0364188974276801E-2</v>
      </c>
      <c r="C85">
        <v>-3.6623475660142193E-2</v>
      </c>
      <c r="E85">
        <v>50.840336134453779</v>
      </c>
      <c r="F85">
        <v>2.2019947761059568E-2</v>
      </c>
    </row>
    <row r="86" spans="1:6" x14ac:dyDescent="0.3">
      <c r="A86">
        <v>62</v>
      </c>
      <c r="B86">
        <v>2.1527057690667886E-2</v>
      </c>
      <c r="C86">
        <v>8.1639961008676029E-2</v>
      </c>
      <c r="E86">
        <v>51.680672268907564</v>
      </c>
      <c r="F86">
        <v>2.2956362181522205E-2</v>
      </c>
    </row>
    <row r="87" spans="1:6" x14ac:dyDescent="0.3">
      <c r="A87">
        <v>63</v>
      </c>
      <c r="B87">
        <v>4.2476340064757985E-2</v>
      </c>
      <c r="C87">
        <v>-4.0278151552624909E-2</v>
      </c>
      <c r="E87">
        <v>52.521008403361343</v>
      </c>
      <c r="F87">
        <v>2.3153791026426278E-2</v>
      </c>
    </row>
    <row r="88" spans="1:6" x14ac:dyDescent="0.3">
      <c r="A88">
        <v>64</v>
      </c>
      <c r="B88">
        <v>9.8641678008941271E-4</v>
      </c>
      <c r="C88">
        <v>-1.617227260875263E-2</v>
      </c>
      <c r="E88">
        <v>53.361344537815128</v>
      </c>
      <c r="F88">
        <v>2.3382258485098336E-2</v>
      </c>
    </row>
    <row r="89" spans="1:6" x14ac:dyDescent="0.3">
      <c r="A89">
        <v>65</v>
      </c>
      <c r="B89">
        <v>-5.466292793810465E-2</v>
      </c>
      <c r="C89">
        <v>2.0809419919076977E-2</v>
      </c>
      <c r="E89">
        <v>54.201680672268907</v>
      </c>
      <c r="F89">
        <v>2.4420467578347507E-2</v>
      </c>
    </row>
    <row r="90" spans="1:6" x14ac:dyDescent="0.3">
      <c r="A90">
        <v>66</v>
      </c>
      <c r="B90">
        <v>1.601080406154418E-3</v>
      </c>
      <c r="C90">
        <v>2.5445781054974786E-2</v>
      </c>
      <c r="E90">
        <v>55.042016806722685</v>
      </c>
      <c r="F90">
        <v>2.6745736152146659E-2</v>
      </c>
    </row>
    <row r="91" spans="1:6" x14ac:dyDescent="0.3">
      <c r="A91">
        <v>67</v>
      </c>
      <c r="B91">
        <v>-5.6326507640115896E-2</v>
      </c>
      <c r="C91">
        <v>-6.571676015492664E-2</v>
      </c>
      <c r="E91">
        <v>55.882352941176471</v>
      </c>
      <c r="F91">
        <v>2.7046861461129203E-2</v>
      </c>
    </row>
    <row r="92" spans="1:6" x14ac:dyDescent="0.3">
      <c r="A92">
        <v>68</v>
      </c>
      <c r="B92">
        <v>6.4379944172359316E-2</v>
      </c>
      <c r="C92">
        <v>-4.1462903645848384E-3</v>
      </c>
      <c r="E92">
        <v>56.72268907563025</v>
      </c>
      <c r="F92">
        <v>2.7429130696814241E-2</v>
      </c>
    </row>
    <row r="93" spans="1:6" x14ac:dyDescent="0.3">
      <c r="A93">
        <v>69</v>
      </c>
      <c r="B93">
        <v>2.1832256244411229E-2</v>
      </c>
      <c r="C93">
        <v>-5.3350188706052133E-3</v>
      </c>
      <c r="E93">
        <v>57.563025210084035</v>
      </c>
      <c r="F93">
        <v>2.9449736824311658E-2</v>
      </c>
    </row>
    <row r="94" spans="1:6" x14ac:dyDescent="0.3">
      <c r="A94">
        <v>70</v>
      </c>
      <c r="B94">
        <v>2.9880570869485604E-2</v>
      </c>
      <c r="C94">
        <v>-5.9872636824604919E-2</v>
      </c>
      <c r="E94">
        <v>58.403361344537814</v>
      </c>
      <c r="F94">
        <v>3.0100262975799635E-2</v>
      </c>
    </row>
    <row r="95" spans="1:6" x14ac:dyDescent="0.3">
      <c r="A95">
        <v>71</v>
      </c>
      <c r="B95">
        <v>3.9893242831300219E-2</v>
      </c>
      <c r="C95">
        <v>0.10650592654831914</v>
      </c>
      <c r="E95">
        <v>59.243697478991599</v>
      </c>
      <c r="F95">
        <v>3.1786769281925586E-2</v>
      </c>
    </row>
    <row r="96" spans="1:6" x14ac:dyDescent="0.3">
      <c r="A96">
        <v>72</v>
      </c>
      <c r="B96">
        <v>-5.2909615321230771E-2</v>
      </c>
      <c r="C96">
        <v>-2.7049071699785515E-2</v>
      </c>
      <c r="E96">
        <v>60.084033613445378</v>
      </c>
      <c r="F96">
        <v>3.3085836330368885E-2</v>
      </c>
    </row>
    <row r="97" spans="1:6" x14ac:dyDescent="0.3">
      <c r="A97">
        <v>73</v>
      </c>
      <c r="B97">
        <v>5.4375108858722945E-2</v>
      </c>
      <c r="C97">
        <v>7.3997919681736274E-4</v>
      </c>
      <c r="E97">
        <v>60.924369747899156</v>
      </c>
      <c r="F97">
        <v>3.4381930079624236E-2</v>
      </c>
    </row>
    <row r="98" spans="1:6" x14ac:dyDescent="0.3">
      <c r="A98">
        <v>74</v>
      </c>
      <c r="B98">
        <v>1.8855744913545833E-2</v>
      </c>
      <c r="C98">
        <v>1.8711430830433775E-2</v>
      </c>
      <c r="E98">
        <v>61.764705882352942</v>
      </c>
      <c r="F98">
        <v>3.6890537644502862E-2</v>
      </c>
    </row>
    <row r="99" spans="1:6" x14ac:dyDescent="0.3">
      <c r="A99">
        <v>75</v>
      </c>
      <c r="B99">
        <v>-1.0124157866940627E-2</v>
      </c>
      <c r="C99">
        <v>-3.6101948291783391E-2</v>
      </c>
      <c r="E99">
        <v>62.605042016806721</v>
      </c>
      <c r="F99">
        <v>3.7567175743979608E-2</v>
      </c>
    </row>
    <row r="100" spans="1:6" x14ac:dyDescent="0.3">
      <c r="A100">
        <v>76</v>
      </c>
      <c r="B100">
        <v>8.4304648295460798E-3</v>
      </c>
      <c r="C100">
        <v>6.2842042118196731E-2</v>
      </c>
      <c r="E100">
        <v>63.445378151260506</v>
      </c>
      <c r="F100">
        <v>3.7876562334502296E-2</v>
      </c>
    </row>
    <row r="101" spans="1:6" x14ac:dyDescent="0.3">
      <c r="A101">
        <v>77</v>
      </c>
      <c r="B101">
        <v>3.224074281958484E-2</v>
      </c>
      <c r="C101">
        <v>2.9191710596564231E-2</v>
      </c>
      <c r="E101">
        <v>64.285714285714292</v>
      </c>
      <c r="F101">
        <v>3.8071636564934862E-2</v>
      </c>
    </row>
    <row r="102" spans="1:6" x14ac:dyDescent="0.3">
      <c r="A102">
        <v>78</v>
      </c>
      <c r="B102">
        <v>2.984139199572907E-2</v>
      </c>
      <c r="C102">
        <v>3.3363122311413577E-2</v>
      </c>
      <c r="E102">
        <v>65.12605042016807</v>
      </c>
      <c r="F102">
        <v>4.0096119776677097E-2</v>
      </c>
    </row>
    <row r="103" spans="1:6" x14ac:dyDescent="0.3">
      <c r="A103">
        <v>79</v>
      </c>
      <c r="B103">
        <v>2.9593173715972983E-2</v>
      </c>
      <c r="C103">
        <v>2.8391042243930978E-2</v>
      </c>
      <c r="E103">
        <v>65.966386554621849</v>
      </c>
      <c r="F103">
        <v>4.0226092307993538E-2</v>
      </c>
    </row>
    <row r="104" spans="1:6" x14ac:dyDescent="0.3">
      <c r="A104">
        <v>80</v>
      </c>
      <c r="B104">
        <v>2.3161341080257566E-2</v>
      </c>
      <c r="C104">
        <v>-7.3663635369659197E-2</v>
      </c>
      <c r="E104">
        <v>66.806722689075642</v>
      </c>
      <c r="F104">
        <v>4.0399149292447076E-2</v>
      </c>
    </row>
    <row r="105" spans="1:6" x14ac:dyDescent="0.3">
      <c r="A105">
        <v>81</v>
      </c>
      <c r="B105">
        <v>-3.6116183190350058E-2</v>
      </c>
      <c r="C105">
        <v>-8.1023278496947571E-2</v>
      </c>
      <c r="E105">
        <v>67.64705882352942</v>
      </c>
      <c r="F105">
        <v>4.369868466385949E-2</v>
      </c>
    </row>
    <row r="106" spans="1:6" x14ac:dyDescent="0.3">
      <c r="A106">
        <v>82</v>
      </c>
      <c r="B106">
        <v>-4.7977650998304248E-2</v>
      </c>
      <c r="C106">
        <v>-0.17663686415100538</v>
      </c>
      <c r="E106">
        <v>68.487394957983199</v>
      </c>
      <c r="F106">
        <v>4.4238842846353009E-2</v>
      </c>
    </row>
    <row r="107" spans="1:6" x14ac:dyDescent="0.3">
      <c r="A107">
        <v>83</v>
      </c>
      <c r="B107">
        <v>0.10509276193906036</v>
      </c>
      <c r="C107">
        <v>-4.1447314535189447E-2</v>
      </c>
      <c r="E107">
        <v>69.327731092436977</v>
      </c>
      <c r="F107">
        <v>4.4935285044563962E-2</v>
      </c>
    </row>
    <row r="108" spans="1:6" x14ac:dyDescent="0.3">
      <c r="A108">
        <v>84</v>
      </c>
      <c r="B108">
        <v>4.4642918911142464E-2</v>
      </c>
      <c r="C108">
        <v>-1.7897182758995805E-2</v>
      </c>
      <c r="E108">
        <v>70.16806722689077</v>
      </c>
      <c r="F108">
        <v>4.5309309427993764E-2</v>
      </c>
    </row>
    <row r="109" spans="1:6" x14ac:dyDescent="0.3">
      <c r="A109">
        <v>85</v>
      </c>
      <c r="B109">
        <v>4.5489182448457732E-2</v>
      </c>
      <c r="C109">
        <v>-7.8887460835946971E-2</v>
      </c>
      <c r="E109">
        <v>71.008403361344548</v>
      </c>
      <c r="F109">
        <v>4.6747194315837959E-2</v>
      </c>
    </row>
    <row r="110" spans="1:6" x14ac:dyDescent="0.3">
      <c r="A110">
        <v>86</v>
      </c>
      <c r="B110">
        <v>5.2734525229602765E-2</v>
      </c>
      <c r="C110">
        <v>-2.5305394532788524E-2</v>
      </c>
      <c r="E110">
        <v>71.848739495798327</v>
      </c>
      <c r="F110">
        <v>4.6836935497090358E-2</v>
      </c>
    </row>
    <row r="111" spans="1:6" x14ac:dyDescent="0.3">
      <c r="A111">
        <v>87</v>
      </c>
      <c r="B111">
        <v>7.7334498729875467E-2</v>
      </c>
      <c r="C111">
        <v>-3.0497563232785109E-2</v>
      </c>
      <c r="E111">
        <v>72.689075630252105</v>
      </c>
      <c r="F111">
        <v>5.0830919669052281E-2</v>
      </c>
    </row>
    <row r="112" spans="1:6" x14ac:dyDescent="0.3">
      <c r="A112">
        <v>88</v>
      </c>
      <c r="B112">
        <v>-3.4966547491674112E-2</v>
      </c>
      <c r="C112">
        <v>-4.1592514039019077E-3</v>
      </c>
      <c r="E112">
        <v>73.529411764705884</v>
      </c>
      <c r="F112">
        <v>5.1865183139048462E-2</v>
      </c>
    </row>
    <row r="113" spans="1:6" x14ac:dyDescent="0.3">
      <c r="A113">
        <v>89</v>
      </c>
      <c r="B113">
        <v>-1.8077221876902576E-2</v>
      </c>
      <c r="C113">
        <v>3.6463070633388869E-2</v>
      </c>
      <c r="E113">
        <v>74.369747899159677</v>
      </c>
      <c r="F113">
        <v>5.3397654688821489E-2</v>
      </c>
    </row>
    <row r="114" spans="1:6" x14ac:dyDescent="0.3">
      <c r="A114">
        <v>90</v>
      </c>
      <c r="B114">
        <v>7.6989229666270684E-2</v>
      </c>
      <c r="C114">
        <v>0.13653420443996034</v>
      </c>
      <c r="E114">
        <v>75.210084033613455</v>
      </c>
      <c r="F114">
        <v>5.3796865573676779E-2</v>
      </c>
    </row>
    <row r="115" spans="1:6" x14ac:dyDescent="0.3">
      <c r="A115">
        <v>91</v>
      </c>
      <c r="B115">
        <v>3.7186817241557028E-2</v>
      </c>
      <c r="C115">
        <v>4.0773750676974453E-2</v>
      </c>
      <c r="E115">
        <v>76.050420168067234</v>
      </c>
      <c r="F115">
        <v>5.5115088055540308E-2</v>
      </c>
    </row>
    <row r="116" spans="1:6" x14ac:dyDescent="0.3">
      <c r="A116">
        <v>92</v>
      </c>
      <c r="B116">
        <v>5.2682244750260048E-3</v>
      </c>
      <c r="C116">
        <v>7.3233116047744431E-3</v>
      </c>
      <c r="E116">
        <v>76.890756302521012</v>
      </c>
      <c r="F116">
        <v>5.5692101777052812E-2</v>
      </c>
    </row>
    <row r="117" spans="1:6" x14ac:dyDescent="0.3">
      <c r="A117">
        <v>93</v>
      </c>
      <c r="B117">
        <v>2.5142320550473191E-3</v>
      </c>
      <c r="C117">
        <v>0.14950168374424117</v>
      </c>
      <c r="E117">
        <v>77.731092436974791</v>
      </c>
      <c r="F117">
        <v>5.7984215959903961E-2</v>
      </c>
    </row>
    <row r="118" spans="1:6" x14ac:dyDescent="0.3">
      <c r="A118">
        <v>94</v>
      </c>
      <c r="B118">
        <v>1.2783002997736539E-2</v>
      </c>
      <c r="C118">
        <v>2.1598927081887695E-2</v>
      </c>
      <c r="E118">
        <v>78.571428571428584</v>
      </c>
      <c r="F118">
        <v>5.9900723284588155E-2</v>
      </c>
    </row>
    <row r="119" spans="1:6" x14ac:dyDescent="0.3">
      <c r="A119">
        <v>95</v>
      </c>
      <c r="B119">
        <v>4.2700276791644481E-2</v>
      </c>
      <c r="C119">
        <v>-3.2321273549151278E-2</v>
      </c>
      <c r="E119">
        <v>79.411764705882362</v>
      </c>
      <c r="F119">
        <v>6.0233653807774477E-2</v>
      </c>
    </row>
    <row r="120" spans="1:6" x14ac:dyDescent="0.3">
      <c r="A120">
        <v>96</v>
      </c>
      <c r="B120">
        <v>-5.0799930788444567E-3</v>
      </c>
      <c r="C120">
        <v>7.9180225770750123E-2</v>
      </c>
      <c r="E120">
        <v>80.252100840336141</v>
      </c>
      <c r="F120">
        <v>6.1432453416149072E-2</v>
      </c>
    </row>
    <row r="121" spans="1:6" x14ac:dyDescent="0.3">
      <c r="A121">
        <v>97</v>
      </c>
      <c r="B121">
        <v>4.5832361612291476E-2</v>
      </c>
      <c r="C121">
        <v>-9.8803787511741931E-2</v>
      </c>
      <c r="E121">
        <v>81.092436974789919</v>
      </c>
      <c r="F121">
        <v>6.3204514307142648E-2</v>
      </c>
    </row>
    <row r="122" spans="1:6" x14ac:dyDescent="0.3">
      <c r="A122">
        <v>98</v>
      </c>
      <c r="B122">
        <v>2.1982240230236934E-2</v>
      </c>
      <c r="C122">
        <v>-4.6156035517153027E-2</v>
      </c>
      <c r="E122">
        <v>81.932773109243698</v>
      </c>
      <c r="F122">
        <v>6.3396230641844839E-2</v>
      </c>
    </row>
    <row r="123" spans="1:6" x14ac:dyDescent="0.3">
      <c r="A123">
        <v>99</v>
      </c>
      <c r="B123">
        <v>3.1215766853652287E-2</v>
      </c>
      <c r="C123">
        <v>2.8684956430935868E-2</v>
      </c>
      <c r="E123">
        <v>82.77310924369749</v>
      </c>
      <c r="F123">
        <v>6.3645447403870917E-2</v>
      </c>
    </row>
    <row r="124" spans="1:6" x14ac:dyDescent="0.3">
      <c r="A124">
        <v>100</v>
      </c>
      <c r="B124">
        <v>-3.5039091436135469E-2</v>
      </c>
      <c r="C124">
        <v>5.8421349921233809E-2</v>
      </c>
      <c r="E124">
        <v>83.613445378151269</v>
      </c>
      <c r="F124">
        <v>6.4615123483850387E-2</v>
      </c>
    </row>
    <row r="125" spans="1:6" x14ac:dyDescent="0.3">
      <c r="A125">
        <v>101</v>
      </c>
      <c r="B125">
        <v>5.6270224957788911E-2</v>
      </c>
      <c r="C125">
        <v>-1.8393662623286615E-2</v>
      </c>
      <c r="E125">
        <v>84.453781512605048</v>
      </c>
      <c r="F125">
        <v>6.7206990713916337E-2</v>
      </c>
    </row>
    <row r="126" spans="1:6" x14ac:dyDescent="0.3">
      <c r="A126">
        <v>102</v>
      </c>
      <c r="B126">
        <v>1.5402360379906084E-2</v>
      </c>
      <c r="C126">
        <v>-7.4869869033395611E-2</v>
      </c>
      <c r="E126">
        <v>85.294117647058826</v>
      </c>
      <c r="F126">
        <v>6.8461685718973916E-2</v>
      </c>
    </row>
    <row r="127" spans="1:6" x14ac:dyDescent="0.3">
      <c r="A127">
        <v>103</v>
      </c>
      <c r="B127">
        <v>1.0984522070014421E-2</v>
      </c>
      <c r="C127">
        <v>-1.4006472552629571E-2</v>
      </c>
      <c r="E127">
        <v>86.134453781512619</v>
      </c>
      <c r="F127">
        <v>7.1272506947742814E-2</v>
      </c>
    </row>
    <row r="128" spans="1:6" x14ac:dyDescent="0.3">
      <c r="A128">
        <v>104</v>
      </c>
      <c r="B128">
        <v>-5.370755656482188E-2</v>
      </c>
      <c r="C128">
        <v>-7.8649007972294016E-3</v>
      </c>
      <c r="E128">
        <v>86.974789915966397</v>
      </c>
      <c r="F128">
        <v>7.4100232691905674E-2</v>
      </c>
    </row>
    <row r="129" spans="1:6" x14ac:dyDescent="0.3">
      <c r="A129">
        <v>105</v>
      </c>
      <c r="B129">
        <v>-2.7714843040525114E-2</v>
      </c>
      <c r="C129">
        <v>-1.2325706010330131E-2</v>
      </c>
      <c r="E129">
        <v>87.815126050420176</v>
      </c>
      <c r="F129">
        <v>7.6337926960113836E-2</v>
      </c>
    </row>
    <row r="130" spans="1:6" x14ac:dyDescent="0.3">
      <c r="A130">
        <v>106</v>
      </c>
      <c r="B130">
        <v>3.1597926954609876E-2</v>
      </c>
      <c r="C130">
        <v>-7.0243889792688682E-2</v>
      </c>
      <c r="E130">
        <v>88.655462184873954</v>
      </c>
      <c r="F130">
        <v>7.6703757368897799E-2</v>
      </c>
    </row>
    <row r="131" spans="1:6" x14ac:dyDescent="0.3">
      <c r="A131">
        <v>107</v>
      </c>
      <c r="B131">
        <v>-8.6200564541820734E-2</v>
      </c>
      <c r="C131">
        <v>-3.82127019556599E-2</v>
      </c>
      <c r="E131">
        <v>89.495798319327733</v>
      </c>
      <c r="F131">
        <v>7.7960567918531481E-2</v>
      </c>
    </row>
    <row r="132" spans="1:6" x14ac:dyDescent="0.3">
      <c r="A132">
        <v>108</v>
      </c>
      <c r="B132">
        <v>-7.7423310344137772E-3</v>
      </c>
      <c r="C132">
        <v>0.12377910101647534</v>
      </c>
      <c r="E132">
        <v>90.336134453781526</v>
      </c>
      <c r="F132">
        <v>8.1634444206070106E-2</v>
      </c>
    </row>
    <row r="133" spans="1:6" x14ac:dyDescent="0.3">
      <c r="A133">
        <v>109</v>
      </c>
      <c r="B133">
        <v>-5.6971921316227796E-2</v>
      </c>
      <c r="C133">
        <v>-9.1405872696334711E-2</v>
      </c>
      <c r="E133">
        <v>91.176470588235304</v>
      </c>
      <c r="F133">
        <v>0.10316701869934392</v>
      </c>
    </row>
    <row r="134" spans="1:6" x14ac:dyDescent="0.3">
      <c r="A134">
        <v>110</v>
      </c>
      <c r="B134">
        <v>8.7429505820836348E-2</v>
      </c>
      <c r="C134">
        <v>-6.3009038242488838E-2</v>
      </c>
      <c r="E134">
        <v>92.016806722689083</v>
      </c>
      <c r="F134">
        <v>0.10753319983020806</v>
      </c>
    </row>
    <row r="135" spans="1:6" x14ac:dyDescent="0.3">
      <c r="A135">
        <v>111</v>
      </c>
      <c r="B135">
        <v>-3.16255369206659E-2</v>
      </c>
      <c r="C135">
        <v>2.6216552960683447E-2</v>
      </c>
      <c r="E135">
        <v>92.857142857142861</v>
      </c>
      <c r="F135">
        <v>0.11259898004893507</v>
      </c>
    </row>
    <row r="136" spans="1:6" x14ac:dyDescent="0.3">
      <c r="A136">
        <v>112</v>
      </c>
      <c r="B136">
        <v>-6.7655858445562225E-2</v>
      </c>
      <c r="C136">
        <v>-1.3501269500599655E-2</v>
      </c>
      <c r="E136">
        <v>93.69747899159664</v>
      </c>
      <c r="F136">
        <v>0.11603676998206156</v>
      </c>
    </row>
    <row r="137" spans="1:6" x14ac:dyDescent="0.3">
      <c r="A137">
        <v>113</v>
      </c>
      <c r="B137">
        <v>2.9857069894271532E-2</v>
      </c>
      <c r="C137">
        <v>0.17473619861175232</v>
      </c>
      <c r="E137">
        <v>94.537815126050432</v>
      </c>
      <c r="F137">
        <v>0.11838487687554299</v>
      </c>
    </row>
    <row r="138" spans="1:6" x14ac:dyDescent="0.3">
      <c r="A138">
        <v>114</v>
      </c>
      <c r="B138">
        <v>4.0013052677597034E-2</v>
      </c>
      <c r="C138">
        <v>6.7520147152611037E-2</v>
      </c>
      <c r="E138">
        <v>95.378151260504211</v>
      </c>
      <c r="F138">
        <v>0.13413401389734086</v>
      </c>
    </row>
    <row r="139" spans="1:6" x14ac:dyDescent="0.3">
      <c r="A139">
        <v>115</v>
      </c>
      <c r="B139">
        <v>-5.7363443141763039E-2</v>
      </c>
      <c r="C139">
        <v>2.7836889103718336E-2</v>
      </c>
      <c r="E139">
        <v>96.21848739495799</v>
      </c>
      <c r="F139">
        <v>0.14639916937961936</v>
      </c>
    </row>
    <row r="140" spans="1:6" x14ac:dyDescent="0.3">
      <c r="A140">
        <v>116</v>
      </c>
      <c r="B140">
        <v>7.4494071602898934E-2</v>
      </c>
      <c r="C140">
        <v>-3.0795386939039444E-2</v>
      </c>
      <c r="E140">
        <v>97.058823529411768</v>
      </c>
      <c r="F140">
        <v>0.1520159157992885</v>
      </c>
    </row>
    <row r="141" spans="1:6" x14ac:dyDescent="0.3">
      <c r="A141">
        <v>117</v>
      </c>
      <c r="B141">
        <v>3.0018372947167651E-5</v>
      </c>
      <c r="C141">
        <v>3.1756750908978421E-2</v>
      </c>
      <c r="E141">
        <v>97.899159663865547</v>
      </c>
      <c r="F141">
        <v>0.16593671299196147</v>
      </c>
    </row>
    <row r="142" spans="1:6" x14ac:dyDescent="0.3">
      <c r="A142">
        <v>118</v>
      </c>
      <c r="B142">
        <v>6.6704546338203372E-2</v>
      </c>
      <c r="C142">
        <v>-0.15767072764866014</v>
      </c>
      <c r="E142">
        <v>98.739495798319339</v>
      </c>
      <c r="F142">
        <v>0.20459326850602386</v>
      </c>
    </row>
    <row r="143" spans="1:6" ht="15" thickBot="1" x14ac:dyDescent="0.35">
      <c r="A143" s="79">
        <v>119</v>
      </c>
      <c r="B143" s="79">
        <v>-6.587129537985981E-3</v>
      </c>
      <c r="C143" s="79">
        <v>7.1202253021836373E-2</v>
      </c>
      <c r="E143" s="79">
        <v>99.579831932773118</v>
      </c>
      <c r="F143" s="79">
        <v>0.21352343410623101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4712-5EEE-4C37-8CAE-F9FF5340948E}">
  <dimension ref="A1:I143"/>
  <sheetViews>
    <sheetView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0.75519365036146535</v>
      </c>
    </row>
    <row r="5" spans="1:9" x14ac:dyDescent="0.3">
      <c r="A5" t="s">
        <v>82</v>
      </c>
      <c r="B5">
        <v>0.57031744954627517</v>
      </c>
    </row>
    <row r="6" spans="1:9" x14ac:dyDescent="0.3">
      <c r="A6" t="s">
        <v>83</v>
      </c>
      <c r="B6">
        <v>0.56664494911504681</v>
      </c>
    </row>
    <row r="7" spans="1:9" x14ac:dyDescent="0.3">
      <c r="A7" t="s">
        <v>84</v>
      </c>
      <c r="B7">
        <v>4.0351563966824204E-2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0.25285733017850476</v>
      </c>
      <c r="D12">
        <v>0.25285733017850476</v>
      </c>
      <c r="E12">
        <v>155.29404563078819</v>
      </c>
      <c r="F12">
        <v>3.3519236746506281E-23</v>
      </c>
    </row>
    <row r="13" spans="1:9" x14ac:dyDescent="0.3">
      <c r="A13" t="s">
        <v>88</v>
      </c>
      <c r="B13">
        <v>117</v>
      </c>
      <c r="C13">
        <v>0.19050509960453854</v>
      </c>
      <c r="D13">
        <v>1.6282487145687055E-3</v>
      </c>
    </row>
    <row r="14" spans="1:9" ht="15" thickBot="1" x14ac:dyDescent="0.35">
      <c r="A14" s="79" t="s">
        <v>89</v>
      </c>
      <c r="B14" s="79">
        <v>118</v>
      </c>
      <c r="C14" s="79">
        <v>0.4433624297830433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9.0269924277659608E-3</v>
      </c>
      <c r="C17">
        <v>3.8270302710743231E-3</v>
      </c>
      <c r="D17">
        <v>2.3587460219466476</v>
      </c>
      <c r="E17">
        <v>1.9994675406129647E-2</v>
      </c>
      <c r="F17">
        <v>1.4477595173281229E-3</v>
      </c>
      <c r="G17">
        <v>1.6606225338203801E-2</v>
      </c>
      <c r="H17">
        <v>1.4477595173281229E-3</v>
      </c>
      <c r="I17">
        <v>1.6606225338203801E-2</v>
      </c>
    </row>
    <row r="18" spans="1:9" ht="15" thickBot="1" x14ac:dyDescent="0.35">
      <c r="A18" s="79" t="s">
        <v>103</v>
      </c>
      <c r="B18" s="79">
        <v>0.8870589465115617</v>
      </c>
      <c r="C18" s="79">
        <v>7.1182801834656112E-2</v>
      </c>
      <c r="D18" s="79">
        <v>12.461703159311265</v>
      </c>
      <c r="E18" s="79">
        <v>3.3519236746505323E-23</v>
      </c>
      <c r="F18" s="79">
        <v>0.74608513755056038</v>
      </c>
      <c r="G18" s="79">
        <v>1.028032755472563</v>
      </c>
      <c r="H18" s="79">
        <v>0.74608513755056038</v>
      </c>
      <c r="I18" s="79">
        <v>1.028032755472563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-1.2440226699331728E-2</v>
      </c>
      <c r="C25">
        <v>9.0648037695077437E-3</v>
      </c>
      <c r="E25">
        <v>0.42016806722689076</v>
      </c>
      <c r="F25">
        <v>-0.13024752310106888</v>
      </c>
    </row>
    <row r="26" spans="1:9" x14ac:dyDescent="0.3">
      <c r="A26">
        <v>2</v>
      </c>
      <c r="B26">
        <v>6.4083986683568447E-2</v>
      </c>
      <c r="C26">
        <v>-0.14225417115512118</v>
      </c>
      <c r="E26">
        <v>1.2605042016806722</v>
      </c>
      <c r="F26">
        <v>-0.10737611124990963</v>
      </c>
    </row>
    <row r="27" spans="1:9" x14ac:dyDescent="0.3">
      <c r="A27">
        <v>3</v>
      </c>
      <c r="B27">
        <v>4.3250416906531015E-3</v>
      </c>
      <c r="C27">
        <v>4.467007770622336E-2</v>
      </c>
      <c r="E27">
        <v>2.1008403361344539</v>
      </c>
      <c r="F27">
        <v>-9.9867118116838627E-2</v>
      </c>
    </row>
    <row r="28" spans="1:9" x14ac:dyDescent="0.3">
      <c r="A28">
        <v>4</v>
      </c>
      <c r="B28">
        <v>5.0695912441030243E-2</v>
      </c>
      <c r="C28">
        <v>-4.7267561933678898E-2</v>
      </c>
      <c r="E28">
        <v>2.9411764705882351</v>
      </c>
      <c r="F28">
        <v>-9.7048953436128807E-2</v>
      </c>
    </row>
    <row r="29" spans="1:9" x14ac:dyDescent="0.3">
      <c r="A29">
        <v>5</v>
      </c>
      <c r="B29">
        <v>5.2999567661236556E-2</v>
      </c>
      <c r="C29">
        <v>1.1002863560671823E-2</v>
      </c>
      <c r="E29">
        <v>3.7815126050420167</v>
      </c>
      <c r="F29">
        <v>-8.0090244568752134E-2</v>
      </c>
    </row>
    <row r="30" spans="1:9" x14ac:dyDescent="0.3">
      <c r="A30">
        <v>6</v>
      </c>
      <c r="B30">
        <v>3.7938835014616291E-2</v>
      </c>
      <c r="C30">
        <v>3.8875477230847159E-2</v>
      </c>
      <c r="E30">
        <v>4.6218487394957988</v>
      </c>
      <c r="F30">
        <v>-7.8170184471552717E-2</v>
      </c>
    </row>
    <row r="31" spans="1:9" x14ac:dyDescent="0.3">
      <c r="A31">
        <v>7</v>
      </c>
      <c r="B31">
        <v>3.5523124374319731E-2</v>
      </c>
      <c r="C31">
        <v>-4.6964593504521479E-2</v>
      </c>
      <c r="E31">
        <v>5.46218487394958</v>
      </c>
      <c r="F31">
        <v>-7.6420409129920777E-2</v>
      </c>
    </row>
    <row r="32" spans="1:9" x14ac:dyDescent="0.3">
      <c r="A32">
        <v>8</v>
      </c>
      <c r="B32">
        <v>-8.2795666374144618E-3</v>
      </c>
      <c r="C32">
        <v>1.9773208925821566E-2</v>
      </c>
      <c r="E32">
        <v>6.302521008403362</v>
      </c>
      <c r="F32">
        <v>-7.5344848528569985E-2</v>
      </c>
    </row>
    <row r="33" spans="1:6" x14ac:dyDescent="0.3">
      <c r="A33">
        <v>9</v>
      </c>
      <c r="B33">
        <v>5.2897405965736916E-2</v>
      </c>
      <c r="C33">
        <v>-4.0476473495616574E-2</v>
      </c>
      <c r="E33">
        <v>7.1428571428571432</v>
      </c>
      <c r="F33">
        <v>-6.8640100306277763E-2</v>
      </c>
    </row>
    <row r="34" spans="1:6" x14ac:dyDescent="0.3">
      <c r="A34">
        <v>10</v>
      </c>
      <c r="B34">
        <v>-1.5059295636358471E-2</v>
      </c>
      <c r="C34">
        <v>9.3038373512768502E-2</v>
      </c>
      <c r="E34">
        <v>7.9831932773109244</v>
      </c>
      <c r="F34">
        <v>-6.8094356685991869E-2</v>
      </c>
    </row>
    <row r="35" spans="1:6" x14ac:dyDescent="0.3">
      <c r="A35">
        <v>11</v>
      </c>
      <c r="B35">
        <v>5.6423144009294787E-3</v>
      </c>
      <c r="C35">
        <v>-2.0036198354712115E-2</v>
      </c>
      <c r="E35">
        <v>8.8235294117647065</v>
      </c>
      <c r="F35">
        <v>-6.6149245680650823E-2</v>
      </c>
    </row>
    <row r="36" spans="1:6" x14ac:dyDescent="0.3">
      <c r="A36">
        <v>12</v>
      </c>
      <c r="B36">
        <v>4.7362000811895309E-2</v>
      </c>
      <c r="C36">
        <v>-3.3995944242748051E-2</v>
      </c>
      <c r="E36">
        <v>9.6638655462184886</v>
      </c>
      <c r="F36">
        <v>-6.6101437573638608E-2</v>
      </c>
    </row>
    <row r="37" spans="1:6" x14ac:dyDescent="0.3">
      <c r="A37">
        <v>13</v>
      </c>
      <c r="B37">
        <v>3.577058217365716E-2</v>
      </c>
      <c r="C37">
        <v>-1.0020938733921132E-2</v>
      </c>
      <c r="E37">
        <v>10.504201680672269</v>
      </c>
      <c r="F37">
        <v>-6.5142450968261448E-2</v>
      </c>
    </row>
    <row r="38" spans="1:6" x14ac:dyDescent="0.3">
      <c r="A38">
        <v>14</v>
      </c>
      <c r="B38">
        <v>1.8940355743947257E-2</v>
      </c>
      <c r="C38">
        <v>1.6071531911937983E-2</v>
      </c>
      <c r="E38">
        <v>11.344537815126051</v>
      </c>
      <c r="F38">
        <v>-6.4331107426577286E-2</v>
      </c>
    </row>
    <row r="39" spans="1:6" x14ac:dyDescent="0.3">
      <c r="A39">
        <v>15</v>
      </c>
      <c r="B39">
        <v>5.2339638724609956E-2</v>
      </c>
      <c r="C39">
        <v>2.5544930611678257E-4</v>
      </c>
      <c r="E39">
        <v>12.184873949579833</v>
      </c>
      <c r="F39">
        <v>-5.7396476024927374E-2</v>
      </c>
    </row>
    <row r="40" spans="1:6" x14ac:dyDescent="0.3">
      <c r="A40">
        <v>16</v>
      </c>
      <c r="B40">
        <v>1.8328257536918023E-3</v>
      </c>
      <c r="C40">
        <v>2.5011563354388575E-2</v>
      </c>
      <c r="E40">
        <v>13.025210084033613</v>
      </c>
      <c r="F40">
        <v>-5.3120249857407507E-2</v>
      </c>
    </row>
    <row r="41" spans="1:6" x14ac:dyDescent="0.3">
      <c r="A41">
        <v>17</v>
      </c>
      <c r="B41">
        <v>3.2851596030870706E-2</v>
      </c>
      <c r="C41">
        <v>-2.0124735551670443E-2</v>
      </c>
      <c r="E41">
        <v>13.865546218487395</v>
      </c>
      <c r="F41">
        <v>-5.2986170772276825E-2</v>
      </c>
    </row>
    <row r="42" spans="1:6" x14ac:dyDescent="0.3">
      <c r="A42">
        <v>18</v>
      </c>
      <c r="B42">
        <v>4.7336292895805522E-2</v>
      </c>
      <c r="C42">
        <v>-2.9019037299158324E-2</v>
      </c>
      <c r="E42">
        <v>14.705882352941178</v>
      </c>
      <c r="F42">
        <v>-5.1708846943439843E-2</v>
      </c>
    </row>
    <row r="43" spans="1:6" x14ac:dyDescent="0.3">
      <c r="A43">
        <v>19</v>
      </c>
      <c r="B43">
        <v>-1.173140716368117E-2</v>
      </c>
      <c r="C43">
        <v>-1.0586710865170755E-2</v>
      </c>
      <c r="E43">
        <v>15.546218487394958</v>
      </c>
      <c r="F43">
        <v>-4.8287533990259673E-2</v>
      </c>
    </row>
    <row r="44" spans="1:6" x14ac:dyDescent="0.3">
      <c r="A44">
        <v>20</v>
      </c>
      <c r="B44">
        <v>-9.3683415836755459E-3</v>
      </c>
      <c r="C44">
        <v>-0.12087918151739334</v>
      </c>
      <c r="E44">
        <v>16.386554621848738</v>
      </c>
      <c r="F44">
        <v>-3.9198847845605768E-2</v>
      </c>
    </row>
    <row r="45" spans="1:6" x14ac:dyDescent="0.3">
      <c r="A45">
        <v>21</v>
      </c>
      <c r="B45">
        <v>7.1516625907754983E-2</v>
      </c>
      <c r="C45">
        <v>1.3879308134209262E-2</v>
      </c>
      <c r="E45">
        <v>17.22689075630252</v>
      </c>
      <c r="F45">
        <v>-3.7369755525266148E-2</v>
      </c>
    </row>
    <row r="46" spans="1:6" x14ac:dyDescent="0.3">
      <c r="A46">
        <v>22</v>
      </c>
      <c r="B46">
        <v>-1.2343105082419327E-2</v>
      </c>
      <c r="C46">
        <v>-5.3806140598231494E-2</v>
      </c>
      <c r="E46">
        <v>18.067226890756302</v>
      </c>
      <c r="F46">
        <v>-3.6595454783771471E-2</v>
      </c>
    </row>
    <row r="47" spans="1:6" x14ac:dyDescent="0.3">
      <c r="A47">
        <v>23</v>
      </c>
      <c r="B47">
        <v>2.551675566425618E-2</v>
      </c>
      <c r="C47">
        <v>0.17074512895778707</v>
      </c>
      <c r="E47">
        <v>18.907563025210084</v>
      </c>
      <c r="F47">
        <v>-2.7775684196983241E-2</v>
      </c>
    </row>
    <row r="48" spans="1:6" x14ac:dyDescent="0.3">
      <c r="A48">
        <v>24</v>
      </c>
      <c r="B48">
        <v>2.7916620557592503E-2</v>
      </c>
      <c r="C48">
        <v>-6.4512075341363967E-2</v>
      </c>
      <c r="E48">
        <v>19.747899159663863</v>
      </c>
      <c r="F48">
        <v>-2.3882552525891519E-2</v>
      </c>
    </row>
    <row r="49" spans="1:6" x14ac:dyDescent="0.3">
      <c r="A49">
        <v>25</v>
      </c>
      <c r="B49">
        <v>-1.2910213698417701E-2</v>
      </c>
      <c r="C49">
        <v>-3.8798633245022141E-2</v>
      </c>
      <c r="E49">
        <v>20.588235294117645</v>
      </c>
      <c r="F49">
        <v>-2.2318118028851926E-2</v>
      </c>
    </row>
    <row r="50" spans="1:6" x14ac:dyDescent="0.3">
      <c r="A50">
        <v>26</v>
      </c>
      <c r="B50">
        <v>4.7793887049405313E-2</v>
      </c>
      <c r="C50">
        <v>9.9639410748716337E-3</v>
      </c>
      <c r="E50">
        <v>21.428571428571427</v>
      </c>
      <c r="F50">
        <v>-2.2088739249364275E-2</v>
      </c>
    </row>
    <row r="51" spans="1:6" x14ac:dyDescent="0.3">
      <c r="A51">
        <v>27</v>
      </c>
      <c r="B51">
        <v>-5.1734560613974842E-2</v>
      </c>
      <c r="C51">
        <v>-1.6359796072017027E-2</v>
      </c>
      <c r="E51">
        <v>22.268907563025209</v>
      </c>
      <c r="F51">
        <v>-2.035883326328301E-2</v>
      </c>
    </row>
    <row r="52" spans="1:6" x14ac:dyDescent="0.3">
      <c r="A52">
        <v>28</v>
      </c>
      <c r="B52">
        <v>-1.0380240099901574E-2</v>
      </c>
      <c r="C52">
        <v>3.4090550353445714E-2</v>
      </c>
      <c r="E52">
        <v>23.109243697478991</v>
      </c>
      <c r="F52">
        <v>-1.4393883953782636E-2</v>
      </c>
    </row>
    <row r="53" spans="1:6" x14ac:dyDescent="0.3">
      <c r="A53">
        <v>29</v>
      </c>
      <c r="B53">
        <v>0.10826966639286462</v>
      </c>
      <c r="C53">
        <v>8.1066023786202146E-2</v>
      </c>
      <c r="E53">
        <v>23.949579831932773</v>
      </c>
      <c r="F53">
        <v>-1.3051181350055221E-2</v>
      </c>
    </row>
    <row r="54" spans="1:6" x14ac:dyDescent="0.3">
      <c r="A54">
        <v>30</v>
      </c>
      <c r="B54">
        <v>1.2018886578668926E-2</v>
      </c>
      <c r="C54">
        <v>2.046600646021627E-2</v>
      </c>
      <c r="E54">
        <v>24.789915966386552</v>
      </c>
      <c r="F54">
        <v>-1.1441469130201746E-2</v>
      </c>
    </row>
    <row r="55" spans="1:6" x14ac:dyDescent="0.3">
      <c r="A55">
        <v>31</v>
      </c>
      <c r="B55">
        <v>-4.5208094220954131E-3</v>
      </c>
      <c r="C55">
        <v>3.2192404131524993E-2</v>
      </c>
      <c r="E55">
        <v>25.630252100840334</v>
      </c>
      <c r="F55">
        <v>-1.0363571677980112E-2</v>
      </c>
    </row>
    <row r="56" spans="1:6" x14ac:dyDescent="0.3">
      <c r="A56">
        <v>32</v>
      </c>
      <c r="B56">
        <v>-5.1632472576004555E-2</v>
      </c>
      <c r="C56">
        <v>4.4602694282784502E-2</v>
      </c>
      <c r="E56">
        <v>26.470588235294116</v>
      </c>
      <c r="F56">
        <v>-9.9136522229225556E-3</v>
      </c>
    </row>
    <row r="57" spans="1:6" x14ac:dyDescent="0.3">
      <c r="A57">
        <v>33</v>
      </c>
      <c r="B57">
        <v>-7.1524954310320955E-3</v>
      </c>
      <c r="C57">
        <v>-6.9267913698888683E-2</v>
      </c>
      <c r="E57">
        <v>27.310924369747898</v>
      </c>
      <c r="F57">
        <v>-7.4921022889532689E-3</v>
      </c>
    </row>
    <row r="58" spans="1:6" x14ac:dyDescent="0.3">
      <c r="A58">
        <v>34</v>
      </c>
      <c r="B58">
        <v>6.8684812809642837E-2</v>
      </c>
      <c r="C58">
        <v>2.4604469669481599E-2</v>
      </c>
      <c r="E58">
        <v>28.15126050420168</v>
      </c>
      <c r="F58">
        <v>-7.3724608418513091E-3</v>
      </c>
    </row>
    <row r="59" spans="1:6" x14ac:dyDescent="0.3">
      <c r="A59">
        <v>35</v>
      </c>
      <c r="B59">
        <v>-1.9137948399447824E-2</v>
      </c>
      <c r="C59">
        <v>-7.7911005036680983E-2</v>
      </c>
      <c r="E59">
        <v>28.991596638655462</v>
      </c>
      <c r="F59">
        <v>-7.0297782932200563E-3</v>
      </c>
    </row>
    <row r="60" spans="1:6" x14ac:dyDescent="0.3">
      <c r="A60">
        <v>36</v>
      </c>
      <c r="B60">
        <v>4.6335723642452552E-2</v>
      </c>
      <c r="C60">
        <v>1.642791626370433E-2</v>
      </c>
      <c r="E60">
        <v>29.831932773109244</v>
      </c>
      <c r="F60">
        <v>-3.3754229298239842E-3</v>
      </c>
    </row>
    <row r="61" spans="1:6" x14ac:dyDescent="0.3">
      <c r="A61">
        <v>37</v>
      </c>
      <c r="B61">
        <v>-1.1795073366941874E-2</v>
      </c>
      <c r="C61">
        <v>-1.5980610830041368E-2</v>
      </c>
      <c r="E61">
        <v>30.672268907563023</v>
      </c>
      <c r="F61">
        <v>-3.3061239999508428E-3</v>
      </c>
    </row>
    <row r="62" spans="1:6" x14ac:dyDescent="0.3">
      <c r="A62">
        <v>38</v>
      </c>
      <c r="B62">
        <v>7.1781894208869032E-2</v>
      </c>
      <c r="C62">
        <v>3.5898360708400329E-2</v>
      </c>
      <c r="E62">
        <v>31.512605042016805</v>
      </c>
      <c r="F62">
        <v>-3.106031717080866E-3</v>
      </c>
    </row>
    <row r="63" spans="1:6" x14ac:dyDescent="0.3">
      <c r="A63">
        <v>39</v>
      </c>
      <c r="B63">
        <v>1.6681924875952405E-2</v>
      </c>
      <c r="C63">
        <v>-2.9202952184655337E-3</v>
      </c>
      <c r="E63">
        <v>32.352941176470587</v>
      </c>
      <c r="F63">
        <v>1.5629771692695356E-3</v>
      </c>
    </row>
    <row r="64" spans="1:6" x14ac:dyDescent="0.3">
      <c r="A64">
        <v>40</v>
      </c>
      <c r="B64">
        <v>2.8484149342820231E-2</v>
      </c>
      <c r="C64">
        <v>-1.9799853059281371E-2</v>
      </c>
      <c r="E64">
        <v>33.193277310924366</v>
      </c>
      <c r="F64">
        <v>1.8106297729788617E-3</v>
      </c>
    </row>
    <row r="65" spans="1:6" x14ac:dyDescent="0.3">
      <c r="A65">
        <v>41</v>
      </c>
      <c r="B65">
        <v>-4.5144375173890618E-3</v>
      </c>
      <c r="C65">
        <v>4.4792059366568784E-2</v>
      </c>
      <c r="E65">
        <v>34.033613445378151</v>
      </c>
      <c r="F65">
        <v>1.997251366008917E-3</v>
      </c>
    </row>
    <row r="66" spans="1:6" x14ac:dyDescent="0.3">
      <c r="A66">
        <v>42</v>
      </c>
      <c r="B66">
        <v>1.0789562937186969E-2</v>
      </c>
      <c r="C66">
        <v>-5.1152043553125259E-3</v>
      </c>
      <c r="E66">
        <v>34.87394957983193</v>
      </c>
      <c r="F66">
        <v>3.4283505073513486E-3</v>
      </c>
    </row>
    <row r="67" spans="1:6" x14ac:dyDescent="0.3">
      <c r="A67">
        <v>43</v>
      </c>
      <c r="B67">
        <v>1.8764569642450685E-2</v>
      </c>
      <c r="C67">
        <v>1.9399759170088876E-2</v>
      </c>
      <c r="E67">
        <v>35.714285714285715</v>
      </c>
      <c r="F67">
        <v>5.6743585818744436E-3</v>
      </c>
    </row>
    <row r="68" spans="1:6" x14ac:dyDescent="0.3">
      <c r="A68">
        <v>44</v>
      </c>
      <c r="B68">
        <v>5.5198132620186552E-2</v>
      </c>
      <c r="C68">
        <v>-1.4805292709893461E-2</v>
      </c>
      <c r="E68">
        <v>36.554621848739494</v>
      </c>
      <c r="F68">
        <v>6.4968907810372617E-3</v>
      </c>
    </row>
    <row r="69" spans="1:6" x14ac:dyDescent="0.3">
      <c r="A69">
        <v>45</v>
      </c>
      <c r="B69">
        <v>4.6046948629232642E-2</v>
      </c>
      <c r="C69">
        <v>-5.6410520307212754E-2</v>
      </c>
      <c r="E69">
        <v>37.394957983193279</v>
      </c>
      <c r="F69">
        <v>7.370627054788261E-3</v>
      </c>
    </row>
    <row r="70" spans="1:6" x14ac:dyDescent="0.3">
      <c r="A70">
        <v>46</v>
      </c>
      <c r="B70">
        <v>2.6653962059336476E-2</v>
      </c>
      <c r="C70">
        <v>8.9707501786643398E-3</v>
      </c>
      <c r="E70">
        <v>38.235294117647058</v>
      </c>
      <c r="F70">
        <v>8.6842962835388601E-3</v>
      </c>
    </row>
    <row r="71" spans="1:6" x14ac:dyDescent="0.3">
      <c r="A71">
        <v>47</v>
      </c>
      <c r="B71">
        <v>3.3062695539181876E-2</v>
      </c>
      <c r="C71">
        <v>6.4149650846997835E-3</v>
      </c>
      <c r="E71">
        <v>39.075630252100837</v>
      </c>
      <c r="F71">
        <v>1.1493642288407104E-2</v>
      </c>
    </row>
    <row r="72" spans="1:6" x14ac:dyDescent="0.3">
      <c r="A72">
        <v>48</v>
      </c>
      <c r="B72">
        <v>4.1638371734952231E-2</v>
      </c>
      <c r="C72">
        <v>-2.1480454694009509E-2</v>
      </c>
      <c r="E72">
        <v>39.915966386554622</v>
      </c>
      <c r="F72">
        <v>1.1668181157399014E-2</v>
      </c>
    </row>
    <row r="73" spans="1:6" x14ac:dyDescent="0.3">
      <c r="A73">
        <v>49</v>
      </c>
      <c r="B73">
        <v>-1.2714270663843686E-2</v>
      </c>
      <c r="C73">
        <v>5.3418098219923773E-3</v>
      </c>
      <c r="E73">
        <v>40.756302521008401</v>
      </c>
      <c r="F73">
        <v>1.1845116015858682E-2</v>
      </c>
    </row>
    <row r="74" spans="1:6" x14ac:dyDescent="0.3">
      <c r="A74">
        <v>50</v>
      </c>
      <c r="B74">
        <v>4.5692744722182731E-2</v>
      </c>
      <c r="C74">
        <v>8.9999929311513349E-3</v>
      </c>
      <c r="E74">
        <v>41.596638655462186</v>
      </c>
      <c r="F74">
        <v>1.1902022050172115E-2</v>
      </c>
    </row>
    <row r="75" spans="1:6" x14ac:dyDescent="0.3">
      <c r="A75">
        <v>51</v>
      </c>
      <c r="B75">
        <v>2.535973031935234E-2</v>
      </c>
      <c r="C75">
        <v>3.113880653404625E-3</v>
      </c>
      <c r="E75">
        <v>42.436974789915965</v>
      </c>
      <c r="F75">
        <v>1.2420932470120343E-2</v>
      </c>
    </row>
    <row r="76" spans="1:6" x14ac:dyDescent="0.3">
      <c r="A76">
        <v>52</v>
      </c>
      <c r="B76">
        <v>7.6493903211260379E-3</v>
      </c>
      <c r="C76">
        <v>-6.0864131518565019E-3</v>
      </c>
      <c r="E76">
        <v>43.27731092436975</v>
      </c>
      <c r="F76">
        <v>1.2726860479200261E-2</v>
      </c>
    </row>
    <row r="77" spans="1:6" x14ac:dyDescent="0.3">
      <c r="A77">
        <v>53</v>
      </c>
      <c r="B77">
        <v>4.8973093984832058E-2</v>
      </c>
      <c r="C77">
        <v>6.7687016698324401E-2</v>
      </c>
      <c r="E77">
        <v>44.117647058823529</v>
      </c>
      <c r="F77">
        <v>1.336605656914726E-2</v>
      </c>
    </row>
    <row r="78" spans="1:6" x14ac:dyDescent="0.3">
      <c r="A78">
        <v>54</v>
      </c>
      <c r="B78">
        <v>2.5636562594634496E-2</v>
      </c>
      <c r="C78">
        <v>-1.3734540544462381E-2</v>
      </c>
      <c r="E78">
        <v>44.957983193277308</v>
      </c>
      <c r="F78">
        <v>1.3761629657486871E-2</v>
      </c>
    </row>
    <row r="79" spans="1:6" x14ac:dyDescent="0.3">
      <c r="A79">
        <v>55</v>
      </c>
      <c r="B79">
        <v>1.3327402338056168E-2</v>
      </c>
      <c r="C79">
        <v>8.0529589303894415E-3</v>
      </c>
      <c r="E79">
        <v>45.798319327731093</v>
      </c>
      <c r="F79">
        <v>1.6925076543682412E-2</v>
      </c>
    </row>
    <row r="80" spans="1:6" x14ac:dyDescent="0.3">
      <c r="A80">
        <v>56</v>
      </c>
      <c r="B80">
        <v>8.5796420290666128E-2</v>
      </c>
      <c r="C80">
        <v>2.4911720532326723E-2</v>
      </c>
      <c r="E80">
        <v>46.638655462184872</v>
      </c>
      <c r="F80">
        <v>1.7243622969748653E-2</v>
      </c>
    </row>
    <row r="81" spans="1:6" x14ac:dyDescent="0.3">
      <c r="A81">
        <v>57</v>
      </c>
      <c r="B81">
        <v>-3.1710823070396684E-3</v>
      </c>
      <c r="C81">
        <v>-9.8800990430155528E-3</v>
      </c>
      <c r="E81">
        <v>47.478991596638657</v>
      </c>
      <c r="F81">
        <v>1.8317255596647198E-2</v>
      </c>
    </row>
    <row r="82" spans="1:6" x14ac:dyDescent="0.3">
      <c r="A82">
        <v>58</v>
      </c>
      <c r="B82">
        <v>-2.6340606412999026E-2</v>
      </c>
      <c r="C82">
        <v>4.251867163634751E-3</v>
      </c>
      <c r="E82">
        <v>48.319327731092436</v>
      </c>
      <c r="F82">
        <v>1.9193890078210141E-2</v>
      </c>
    </row>
    <row r="83" spans="1:6" x14ac:dyDescent="0.3">
      <c r="A83">
        <v>59</v>
      </c>
      <c r="B83">
        <v>1.2321209181072473E-2</v>
      </c>
      <c r="C83">
        <v>1.2330887267577504E-2</v>
      </c>
      <c r="E83">
        <v>49.159663865546214</v>
      </c>
      <c r="F83">
        <v>2.0157917040942722E-2</v>
      </c>
    </row>
    <row r="84" spans="1:6" x14ac:dyDescent="0.3">
      <c r="A84">
        <v>60</v>
      </c>
      <c r="B84">
        <v>5.7661313918487188E-2</v>
      </c>
      <c r="C84">
        <v>-7.7490519647184508E-4</v>
      </c>
      <c r="E84">
        <v>50</v>
      </c>
      <c r="F84">
        <v>2.138036126844561E-2</v>
      </c>
    </row>
    <row r="85" spans="1:6" x14ac:dyDescent="0.3">
      <c r="A85">
        <v>61</v>
      </c>
      <c r="B85">
        <v>1.8329482933617074E-2</v>
      </c>
      <c r="C85">
        <v>-1.6332231567608158E-2</v>
      </c>
      <c r="E85">
        <v>50.840336134453779</v>
      </c>
      <c r="F85">
        <v>2.2078969967771481E-2</v>
      </c>
    </row>
    <row r="86" spans="1:6" x14ac:dyDescent="0.3">
      <c r="A86">
        <v>62</v>
      </c>
      <c r="B86">
        <v>3.3113472561594449E-2</v>
      </c>
      <c r="C86">
        <v>4.2639625451887216E-2</v>
      </c>
      <c r="E86">
        <v>51.680672268907564</v>
      </c>
      <c r="F86">
        <v>2.2543428464297327E-2</v>
      </c>
    </row>
    <row r="87" spans="1:6" x14ac:dyDescent="0.3">
      <c r="A87">
        <v>63</v>
      </c>
      <c r="B87">
        <v>6.0858488757775844E-2</v>
      </c>
      <c r="C87">
        <v>-1.9408758182642913E-3</v>
      </c>
      <c r="E87">
        <v>52.521008403361343</v>
      </c>
      <c r="F87">
        <v>2.3710310253544142E-2</v>
      </c>
    </row>
    <row r="88" spans="1:6" x14ac:dyDescent="0.3">
      <c r="A88">
        <v>64</v>
      </c>
      <c r="B88">
        <v>5.9096569574478338E-3</v>
      </c>
      <c r="C88">
        <v>1.6169313010323649E-2</v>
      </c>
      <c r="E88">
        <v>53.361344537815128</v>
      </c>
      <c r="F88">
        <v>2.4652096448649977E-2</v>
      </c>
    </row>
    <row r="89" spans="1:6" x14ac:dyDescent="0.3">
      <c r="A89">
        <v>65</v>
      </c>
      <c r="B89">
        <v>-6.7791768367878466E-2</v>
      </c>
      <c r="C89">
        <v>1.6903307942398582E-3</v>
      </c>
      <c r="E89">
        <v>54.201680672268907</v>
      </c>
      <c r="F89">
        <v>2.5749643439736028E-2</v>
      </c>
    </row>
    <row r="90" spans="1:6" x14ac:dyDescent="0.3">
      <c r="A90">
        <v>66</v>
      </c>
      <c r="B90">
        <v>6.7237112031182829E-3</v>
      </c>
      <c r="C90">
        <v>3.1475102529939458E-2</v>
      </c>
      <c r="E90">
        <v>55.042016806722685</v>
      </c>
      <c r="F90">
        <v>2.6844389108080378E-2</v>
      </c>
    </row>
    <row r="91" spans="1:6" x14ac:dyDescent="0.3">
      <c r="A91">
        <v>67</v>
      </c>
      <c r="B91">
        <v>-6.9994996380739943E-2</v>
      </c>
      <c r="C91">
        <v>-1.009524818801219E-2</v>
      </c>
      <c r="E91">
        <v>55.882352941176471</v>
      </c>
      <c r="F91">
        <v>2.7671594709429582E-2</v>
      </c>
    </row>
    <row r="92" spans="1:6" x14ac:dyDescent="0.3">
      <c r="A92">
        <v>68</v>
      </c>
      <c r="B92">
        <v>8.9867398937523199E-2</v>
      </c>
      <c r="C92">
        <v>-6.1709700321893435E-2</v>
      </c>
      <c r="E92">
        <v>56.72268907563025</v>
      </c>
      <c r="F92">
        <v>2.8157698615629768E-2</v>
      </c>
    </row>
    <row r="93" spans="1:6" x14ac:dyDescent="0.3">
      <c r="A93">
        <v>69</v>
      </c>
      <c r="B93">
        <v>3.3517674417555536E-2</v>
      </c>
      <c r="C93">
        <v>3.9258458650952906E-2</v>
      </c>
      <c r="E93">
        <v>57.563025210084035</v>
      </c>
      <c r="F93">
        <v>2.8473610972756965E-2</v>
      </c>
    </row>
    <row r="94" spans="1:6" x14ac:dyDescent="0.3">
      <c r="A94">
        <v>70</v>
      </c>
      <c r="B94">
        <v>4.417678033045442E-2</v>
      </c>
      <c r="C94">
        <v>1.3072983915266109E-2</v>
      </c>
      <c r="E94">
        <v>58.403361344537814</v>
      </c>
      <c r="F94">
        <v>3.121616767552211E-2</v>
      </c>
    </row>
    <row r="95" spans="1:6" x14ac:dyDescent="0.3">
      <c r="A95">
        <v>71</v>
      </c>
      <c r="B95">
        <v>5.743746109206279E-2</v>
      </c>
      <c r="C95">
        <v>4.9905274121208314E-2</v>
      </c>
      <c r="E95">
        <v>59.243697478991599</v>
      </c>
      <c r="F95">
        <v>3.2484893038885194E-2</v>
      </c>
    </row>
    <row r="96" spans="1:6" x14ac:dyDescent="0.3">
      <c r="A96">
        <v>72</v>
      </c>
      <c r="B96">
        <v>-6.5469698996552431E-2</v>
      </c>
      <c r="C96">
        <v>1.2483528224275606E-2</v>
      </c>
      <c r="E96">
        <v>60.084033613445378</v>
      </c>
      <c r="F96">
        <v>3.3316631192121339E-2</v>
      </c>
    </row>
    <row r="97" spans="1:6" x14ac:dyDescent="0.3">
      <c r="A97">
        <v>73</v>
      </c>
      <c r="B97">
        <v>7.6617096952941499E-2</v>
      </c>
      <c r="C97">
        <v>1.0510100427256294E-2</v>
      </c>
      <c r="E97">
        <v>60.924369747899156</v>
      </c>
      <c r="F97">
        <v>3.3995526744489996E-2</v>
      </c>
    </row>
    <row r="98" spans="1:6" x14ac:dyDescent="0.3">
      <c r="A98">
        <v>74</v>
      </c>
      <c r="B98">
        <v>2.9575613128376671E-2</v>
      </c>
      <c r="C98">
        <v>-1.2331990158628018E-2</v>
      </c>
      <c r="E98">
        <v>61.764705882352942</v>
      </c>
      <c r="F98">
        <v>3.501188765588524E-2</v>
      </c>
    </row>
    <row r="99" spans="1:6" x14ac:dyDescent="0.3">
      <c r="A99">
        <v>75</v>
      </c>
      <c r="B99">
        <v>-8.8050749377118816E-3</v>
      </c>
      <c r="C99">
        <v>2.0473256095110894E-2</v>
      </c>
      <c r="E99">
        <v>62.605042016806721</v>
      </c>
      <c r="F99">
        <v>3.5624712238000816E-2</v>
      </c>
    </row>
    <row r="100" spans="1:6" x14ac:dyDescent="0.3">
      <c r="A100">
        <v>76</v>
      </c>
      <c r="B100">
        <v>1.5768478372388942E-2</v>
      </c>
      <c r="C100">
        <v>-3.9233623565302599E-3</v>
      </c>
      <c r="E100">
        <v>63.445378151260506</v>
      </c>
      <c r="F100">
        <v>3.8164328812539561E-2</v>
      </c>
    </row>
    <row r="101" spans="1:6" x14ac:dyDescent="0.3">
      <c r="A101">
        <v>77</v>
      </c>
      <c r="B101">
        <v>4.7302568021505134E-2</v>
      </c>
      <c r="C101">
        <v>-1.6086400345983024E-2</v>
      </c>
      <c r="E101">
        <v>64.285714285714292</v>
      </c>
      <c r="F101">
        <v>3.8198813733057745E-2</v>
      </c>
    </row>
    <row r="102" spans="1:6" x14ac:dyDescent="0.3">
      <c r="A102">
        <v>78</v>
      </c>
      <c r="B102">
        <v>4.4124892229109834E-2</v>
      </c>
      <c r="C102">
        <v>1.1744731588613944E-2</v>
      </c>
      <c r="E102">
        <v>65.12605042016807</v>
      </c>
      <c r="F102">
        <v>3.9477660623881659E-2</v>
      </c>
    </row>
    <row r="103" spans="1:6" x14ac:dyDescent="0.3">
      <c r="A103">
        <v>79</v>
      </c>
      <c r="B103">
        <v>4.3796154467641756E-2</v>
      </c>
      <c r="C103">
        <v>1.4977003936377797E-3</v>
      </c>
      <c r="E103">
        <v>65.966386554621849</v>
      </c>
      <c r="F103">
        <v>4.0277621849179719E-2</v>
      </c>
    </row>
    <row r="104" spans="1:6" x14ac:dyDescent="0.3">
      <c r="A104">
        <v>80</v>
      </c>
      <c r="B104">
        <v>3.5277900836684008E-2</v>
      </c>
      <c r="C104">
        <v>4.4176698409514166E-2</v>
      </c>
      <c r="E104">
        <v>66.806722689075642</v>
      </c>
      <c r="F104">
        <v>4.0392839910293091E-2</v>
      </c>
    </row>
    <row r="105" spans="1:6" x14ac:dyDescent="0.3">
      <c r="A105">
        <v>81</v>
      </c>
      <c r="B105">
        <v>-4.3228648532837172E-2</v>
      </c>
      <c r="C105">
        <v>-5.0588854574225017E-3</v>
      </c>
      <c r="E105">
        <v>67.64705882352942</v>
      </c>
      <c r="F105">
        <v>4.1725991830898243E-2</v>
      </c>
    </row>
    <row r="106" spans="1:6" x14ac:dyDescent="0.3">
      <c r="A106">
        <v>82</v>
      </c>
      <c r="B106">
        <v>-5.8937855682061405E-2</v>
      </c>
      <c r="C106">
        <v>3.5055303156169886E-2</v>
      </c>
      <c r="E106">
        <v>68.487394957983199</v>
      </c>
      <c r="F106">
        <v>4.2891839619207714E-2</v>
      </c>
    </row>
    <row r="107" spans="1:6" x14ac:dyDescent="0.3">
      <c r="A107">
        <v>83</v>
      </c>
      <c r="B107">
        <v>0.14378704010510587</v>
      </c>
      <c r="C107">
        <v>-7.4608942572327308E-3</v>
      </c>
      <c r="E107">
        <v>69.327731092436977</v>
      </c>
      <c r="F107">
        <v>4.5293854861279535E-2</v>
      </c>
    </row>
    <row r="108" spans="1:6" x14ac:dyDescent="0.3">
      <c r="A108">
        <v>84</v>
      </c>
      <c r="B108">
        <v>6.3727883714119887E-2</v>
      </c>
      <c r="C108">
        <v>-4.118445524982256E-2</v>
      </c>
      <c r="E108">
        <v>70.16806722689077</v>
      </c>
      <c r="F108">
        <v>4.8995119396876459E-2</v>
      </c>
    </row>
    <row r="109" spans="1:6" x14ac:dyDescent="0.3">
      <c r="A109">
        <v>85</v>
      </c>
      <c r="B109">
        <v>6.4848666523276602E-2</v>
      </c>
      <c r="C109">
        <v>4.8803459157672882E-2</v>
      </c>
      <c r="E109">
        <v>71.008403361344548</v>
      </c>
      <c r="F109">
        <v>5.1716400437786858E-2</v>
      </c>
    </row>
    <row r="110" spans="1:6" x14ac:dyDescent="0.3">
      <c r="A110">
        <v>86</v>
      </c>
      <c r="B110">
        <v>7.4444324704789178E-2</v>
      </c>
      <c r="C110">
        <v>-6.7073697650000916E-2</v>
      </c>
      <c r="E110">
        <v>71.848739495798327</v>
      </c>
      <c r="F110">
        <v>5.2595088030726739E-2</v>
      </c>
    </row>
    <row r="111" spans="1:6" x14ac:dyDescent="0.3">
      <c r="A111">
        <v>87</v>
      </c>
      <c r="B111">
        <v>0.10702427904417229</v>
      </c>
      <c r="C111">
        <v>-6.931385524718961E-3</v>
      </c>
      <c r="E111">
        <v>72.689075630252105</v>
      </c>
      <c r="F111">
        <v>5.4692737653334066E-2</v>
      </c>
    </row>
    <row r="112" spans="1:6" x14ac:dyDescent="0.3">
      <c r="A112">
        <v>88</v>
      </c>
      <c r="B112">
        <v>-4.1706082723188154E-2</v>
      </c>
      <c r="C112">
        <v>-2.3436368245073294E-2</v>
      </c>
      <c r="E112">
        <v>73.529411764705884</v>
      </c>
      <c r="F112">
        <v>5.5869623817723778E-2</v>
      </c>
    </row>
    <row r="113" spans="1:6" x14ac:dyDescent="0.3">
      <c r="A113">
        <v>89</v>
      </c>
      <c r="B113">
        <v>-1.9338031906136227E-2</v>
      </c>
      <c r="C113">
        <v>-1.803172361912992E-2</v>
      </c>
      <c r="E113">
        <v>74.369747899159677</v>
      </c>
      <c r="F113">
        <v>5.6886408722015343E-2</v>
      </c>
    </row>
    <row r="114" spans="1:6" x14ac:dyDescent="0.3">
      <c r="A114">
        <v>90</v>
      </c>
      <c r="B114">
        <v>0.10656700821309109</v>
      </c>
      <c r="C114">
        <v>-4.9274661042590602E-2</v>
      </c>
      <c r="E114">
        <v>75.210084033613455</v>
      </c>
      <c r="F114">
        <v>5.7249764245720529E-2</v>
      </c>
    </row>
    <row r="115" spans="1:6" x14ac:dyDescent="0.3">
      <c r="A115">
        <v>91</v>
      </c>
      <c r="B115">
        <v>5.3853098607453048E-2</v>
      </c>
      <c r="C115">
        <v>-1.2127106776554805E-2</v>
      </c>
      <c r="E115">
        <v>76.050420168067234</v>
      </c>
      <c r="F115">
        <v>5.7292347170500489E-2</v>
      </c>
    </row>
    <row r="116" spans="1:6" x14ac:dyDescent="0.3">
      <c r="A116">
        <v>92</v>
      </c>
      <c r="B116">
        <v>1.1580439456034958E-2</v>
      </c>
      <c r="C116">
        <v>3.1311400163172756E-2</v>
      </c>
      <c r="E116">
        <v>76.890756302521012</v>
      </c>
      <c r="F116">
        <v>5.7757828124276947E-2</v>
      </c>
    </row>
    <row r="117" spans="1:6" x14ac:dyDescent="0.3">
      <c r="A117">
        <v>93</v>
      </c>
      <c r="B117">
        <v>7.9330799459558857E-3</v>
      </c>
      <c r="C117">
        <v>-6.122450172977024E-3</v>
      </c>
      <c r="E117">
        <v>77.731092436974791</v>
      </c>
      <c r="F117">
        <v>5.8917612939511553E-2</v>
      </c>
    </row>
    <row r="118" spans="1:6" x14ac:dyDescent="0.3">
      <c r="A118">
        <v>94</v>
      </c>
      <c r="B118">
        <v>2.1532935589324377E-2</v>
      </c>
      <c r="C118">
        <v>-4.6078590456419648E-3</v>
      </c>
      <c r="E118">
        <v>78.571428571428584</v>
      </c>
      <c r="F118">
        <v>5.9562585161343003E-2</v>
      </c>
    </row>
    <row r="119" spans="1:6" x14ac:dyDescent="0.3">
      <c r="A119">
        <v>95</v>
      </c>
      <c r="B119">
        <v>6.1155068277944515E-2</v>
      </c>
      <c r="C119">
        <v>8.4465885142258543E-3</v>
      </c>
      <c r="E119">
        <v>79.411764705882362</v>
      </c>
      <c r="F119">
        <v>6.2763639906156882E-2</v>
      </c>
    </row>
    <row r="120" spans="1:6" x14ac:dyDescent="0.3">
      <c r="A120">
        <v>96</v>
      </c>
      <c r="B120">
        <v>-2.1246344699741571E-3</v>
      </c>
      <c r="C120">
        <v>-7.7890177529483986E-3</v>
      </c>
      <c r="E120">
        <v>80.252100840336141</v>
      </c>
      <c r="F120">
        <v>6.4002431221908379E-2</v>
      </c>
    </row>
    <row r="121" spans="1:6" x14ac:dyDescent="0.3">
      <c r="A121">
        <v>97</v>
      </c>
      <c r="B121">
        <v>6.5303169512387835E-2</v>
      </c>
      <c r="C121">
        <v>2.2191199191815919E-2</v>
      </c>
      <c r="E121">
        <v>81.092436974789919</v>
      </c>
      <c r="F121">
        <v>6.9601656792170369E-2</v>
      </c>
    </row>
    <row r="122" spans="1:6" x14ac:dyDescent="0.3">
      <c r="A122">
        <v>98</v>
      </c>
      <c r="B122">
        <v>3.3716311680712999E-2</v>
      </c>
      <c r="C122">
        <v>1.8000088757073859E-2</v>
      </c>
      <c r="E122">
        <v>81.932773109243698</v>
      </c>
      <c r="F122">
        <v>7.2776133068508442E-2</v>
      </c>
    </row>
    <row r="123" spans="1:6" x14ac:dyDescent="0.3">
      <c r="A123">
        <v>99</v>
      </c>
      <c r="B123">
        <v>4.594510029217292E-2</v>
      </c>
      <c r="C123">
        <v>1.3617484869170082E-2</v>
      </c>
      <c r="E123">
        <v>82.77310924369749</v>
      </c>
      <c r="F123">
        <v>7.5753098013481665E-2</v>
      </c>
    </row>
    <row r="124" spans="1:6" x14ac:dyDescent="0.3">
      <c r="A124">
        <v>100</v>
      </c>
      <c r="B124">
        <v>-4.1802159184332451E-2</v>
      </c>
      <c r="C124">
        <v>-2.2528948242244835E-2</v>
      </c>
      <c r="E124">
        <v>83.613445378151269</v>
      </c>
      <c r="F124">
        <v>7.6814312245463451E-2</v>
      </c>
    </row>
    <row r="125" spans="1:6" x14ac:dyDescent="0.3">
      <c r="A125">
        <v>101</v>
      </c>
      <c r="B125">
        <v>7.9126969411735595E-2</v>
      </c>
      <c r="C125">
        <v>9.7164275732306835E-2</v>
      </c>
      <c r="E125">
        <v>84.453781512605048</v>
      </c>
      <c r="F125">
        <v>7.7979077876410036E-2</v>
      </c>
    </row>
    <row r="126" spans="1:6" x14ac:dyDescent="0.3">
      <c r="A126">
        <v>102</v>
      </c>
      <c r="B126">
        <v>2.5001985826661584E-2</v>
      </c>
      <c r="C126">
        <v>-2.8108017543742449E-2</v>
      </c>
      <c r="E126">
        <v>85.294117647058826</v>
      </c>
      <c r="F126">
        <v>7.9454599246198174E-2</v>
      </c>
    </row>
    <row r="127" spans="1:6" x14ac:dyDescent="0.3">
      <c r="A127">
        <v>103</v>
      </c>
      <c r="B127">
        <v>1.9151045767175242E-2</v>
      </c>
      <c r="C127">
        <v>4.284431103489944E-5</v>
      </c>
      <c r="E127">
        <v>86.134453781512619</v>
      </c>
      <c r="F127">
        <v>8.5395934041964244E-2</v>
      </c>
    </row>
    <row r="128" spans="1:6" x14ac:dyDescent="0.3">
      <c r="A128">
        <v>104</v>
      </c>
      <c r="B128">
        <v>-6.6526484252090234E-2</v>
      </c>
      <c r="C128">
        <v>-8.818364276479751E-3</v>
      </c>
      <c r="E128">
        <v>86.974789915966397</v>
      </c>
      <c r="F128">
        <v>8.7127197380197793E-2</v>
      </c>
    </row>
    <row r="129" spans="1:6" x14ac:dyDescent="0.3">
      <c r="A129">
        <v>105</v>
      </c>
      <c r="B129">
        <v>-3.2101999210719462E-2</v>
      </c>
      <c r="C129">
        <v>-7.0968486348863061E-3</v>
      </c>
      <c r="E129">
        <v>87.815126050420176</v>
      </c>
      <c r="F129">
        <v>8.7494368704203754E-2</v>
      </c>
    </row>
    <row r="130" spans="1:6" x14ac:dyDescent="0.3">
      <c r="A130">
        <v>106</v>
      </c>
      <c r="B130">
        <v>4.6451229237368503E-2</v>
      </c>
      <c r="C130">
        <v>-1.2455702492878508E-2</v>
      </c>
      <c r="E130">
        <v>88.655462184873954</v>
      </c>
      <c r="F130">
        <v>9.3096614724150664E-2</v>
      </c>
    </row>
    <row r="131" spans="1:6" x14ac:dyDescent="0.3">
      <c r="A131">
        <v>107</v>
      </c>
      <c r="B131">
        <v>-0.10955989305751432</v>
      </c>
      <c r="C131">
        <v>9.6927749406756913E-3</v>
      </c>
      <c r="E131">
        <v>89.495798319327733</v>
      </c>
      <c r="F131">
        <v>9.3289282479124436E-2</v>
      </c>
    </row>
    <row r="132" spans="1:6" x14ac:dyDescent="0.3">
      <c r="A132">
        <v>108</v>
      </c>
      <c r="B132">
        <v>-5.6506077409410379E-3</v>
      </c>
      <c r="C132">
        <v>-1.4708225522341972E-2</v>
      </c>
      <c r="E132">
        <v>90.336134453781526</v>
      </c>
      <c r="F132">
        <v>9.9125453044312306E-2</v>
      </c>
    </row>
    <row r="133" spans="1:6" x14ac:dyDescent="0.3">
      <c r="A133">
        <v>109</v>
      </c>
      <c r="B133">
        <v>-7.0849775679486179E-2</v>
      </c>
      <c r="C133">
        <v>1.7729525822078672E-2</v>
      </c>
      <c r="E133">
        <v>91.176470588235304</v>
      </c>
      <c r="F133">
        <v>0.10009289351945333</v>
      </c>
    </row>
    <row r="134" spans="1:6" x14ac:dyDescent="0.3">
      <c r="A134">
        <v>110</v>
      </c>
      <c r="B134">
        <v>0.120394003612193</v>
      </c>
      <c r="C134">
        <v>-2.729738888804234E-2</v>
      </c>
      <c r="E134">
        <v>92.016806722689083</v>
      </c>
      <c r="F134">
        <v>0.1073427352132711</v>
      </c>
    </row>
    <row r="135" spans="1:6" x14ac:dyDescent="0.3">
      <c r="A135">
        <v>111</v>
      </c>
      <c r="B135">
        <v>-3.7281282352991121E-2</v>
      </c>
      <c r="C135">
        <v>-3.1358817953286641E-2</v>
      </c>
      <c r="E135">
        <v>92.857142857142861</v>
      </c>
      <c r="F135">
        <v>0.10768025491726936</v>
      </c>
    </row>
    <row r="136" spans="1:6" x14ac:dyDescent="0.3">
      <c r="A136">
        <v>112</v>
      </c>
      <c r="B136">
        <v>-8.4999473191749664E-2</v>
      </c>
      <c r="C136">
        <v>-2.2376638058159967E-2</v>
      </c>
      <c r="E136">
        <v>93.69747899159664</v>
      </c>
      <c r="F136">
        <v>0.11070814082299285</v>
      </c>
    </row>
    <row r="137" spans="1:6" x14ac:dyDescent="0.3">
      <c r="A137">
        <v>113</v>
      </c>
      <c r="B137">
        <v>4.414565587825138E-2</v>
      </c>
      <c r="C137">
        <v>-4.7451779878202226E-2</v>
      </c>
      <c r="E137">
        <v>94.537815126050432</v>
      </c>
      <c r="F137">
        <v>0.11365212568094948</v>
      </c>
    </row>
    <row r="138" spans="1:6" x14ac:dyDescent="0.3">
      <c r="A138">
        <v>114</v>
      </c>
      <c r="B138">
        <v>5.7596136032168538E-2</v>
      </c>
      <c r="C138">
        <v>4.1529317012143768E-2</v>
      </c>
      <c r="E138">
        <v>95.378151260504211</v>
      </c>
      <c r="F138">
        <v>0.11666011068315646</v>
      </c>
    </row>
    <row r="139" spans="1:6" x14ac:dyDescent="0.3">
      <c r="A139">
        <v>115</v>
      </c>
      <c r="B139">
        <v>-7.1368303197358055E-2</v>
      </c>
      <c r="C139">
        <v>1.397182717243068E-2</v>
      </c>
      <c r="E139">
        <v>96.21848739495799</v>
      </c>
      <c r="F139">
        <v>0.13632614584787314</v>
      </c>
    </row>
    <row r="140" spans="1:6" x14ac:dyDescent="0.3">
      <c r="A140">
        <v>116</v>
      </c>
      <c r="B140">
        <v>0.10326244628853073</v>
      </c>
      <c r="C140">
        <v>-6.9945815096409403E-2</v>
      </c>
      <c r="E140">
        <v>97.058823529411768</v>
      </c>
      <c r="F140">
        <v>0.15877677846127211</v>
      </c>
    </row>
    <row r="141" spans="1:6" x14ac:dyDescent="0.3">
      <c r="A141">
        <v>117</v>
      </c>
      <c r="B141">
        <v>4.6430126484770257E-3</v>
      </c>
      <c r="C141">
        <v>1.853878132560236E-3</v>
      </c>
      <c r="E141">
        <v>97.899159663865547</v>
      </c>
      <c r="F141">
        <v>0.17629124514404243</v>
      </c>
    </row>
    <row r="142" spans="1:6" x14ac:dyDescent="0.3">
      <c r="A142">
        <v>118</v>
      </c>
      <c r="B142">
        <v>9.2946078368604329E-2</v>
      </c>
      <c r="C142">
        <v>6.5830700092667782E-2</v>
      </c>
      <c r="E142">
        <v>98.739495798319339</v>
      </c>
      <c r="F142">
        <v>0.18933569017906676</v>
      </c>
    </row>
    <row r="143" spans="1:6" ht="15" thickBot="1" x14ac:dyDescent="0.35">
      <c r="A143" s="79">
        <v>119</v>
      </c>
      <c r="B143" s="79">
        <v>-4.1206706454402046E-3</v>
      </c>
      <c r="C143" s="79">
        <v>-3.3714316435130643E-3</v>
      </c>
      <c r="E143" s="79">
        <v>99.579831932773118</v>
      </c>
      <c r="F143" s="79">
        <v>0.19626188462204325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38B8-4561-431C-A88E-EA2BA8EE6426}">
  <dimension ref="A1:I146"/>
  <sheetViews>
    <sheetView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0.29981536274778592</v>
      </c>
    </row>
    <row r="5" spans="1:9" x14ac:dyDescent="0.3">
      <c r="A5" t="s">
        <v>82</v>
      </c>
      <c r="B5">
        <v>8.9889251739586465E-2</v>
      </c>
    </row>
    <row r="6" spans="1:9" x14ac:dyDescent="0.3">
      <c r="A6" t="s">
        <v>83</v>
      </c>
      <c r="B6">
        <v>8.2110527395480359E-2</v>
      </c>
    </row>
    <row r="7" spans="1:9" x14ac:dyDescent="0.3">
      <c r="A7" t="s">
        <v>84</v>
      </c>
      <c r="B7">
        <v>5.1739026203412128E-2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3.0933985996731417E-2</v>
      </c>
      <c r="D12">
        <v>3.0933985996731417E-2</v>
      </c>
      <c r="E12">
        <v>11.555783154559926</v>
      </c>
      <c r="F12">
        <v>9.2424660845066993E-4</v>
      </c>
    </row>
    <row r="13" spans="1:9" x14ac:dyDescent="0.3">
      <c r="A13" t="s">
        <v>88</v>
      </c>
      <c r="B13">
        <v>117</v>
      </c>
      <c r="C13">
        <v>0.31320043939985193</v>
      </c>
      <c r="D13">
        <v>2.676926832477367E-3</v>
      </c>
    </row>
    <row r="14" spans="1:9" ht="15" thickBot="1" x14ac:dyDescent="0.35">
      <c r="A14" s="79" t="s">
        <v>89</v>
      </c>
      <c r="B14" s="79">
        <v>118</v>
      </c>
      <c r="C14" s="79">
        <v>0.34413442539658334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1.0039481300423453E-2</v>
      </c>
      <c r="C17">
        <v>4.9070420080659293E-3</v>
      </c>
      <c r="D17">
        <v>2.0459334327933405</v>
      </c>
      <c r="E17">
        <v>4.3004654421860536E-2</v>
      </c>
      <c r="F17">
        <v>3.2134173891069581E-4</v>
      </c>
      <c r="G17">
        <v>1.975762086193621E-2</v>
      </c>
      <c r="H17">
        <v>3.2134173891069581E-4</v>
      </c>
      <c r="I17">
        <v>1.975762086193621E-2</v>
      </c>
    </row>
    <row r="18" spans="1:9" ht="15" thickBot="1" x14ac:dyDescent="0.35">
      <c r="A18" s="79" t="s">
        <v>103</v>
      </c>
      <c r="B18" s="79">
        <v>0.31026490115733629</v>
      </c>
      <c r="C18" s="79">
        <v>9.1271031090233684E-2</v>
      </c>
      <c r="D18" s="79">
        <v>3.3993798191081872</v>
      </c>
      <c r="E18" s="79">
        <v>9.2424660845063394E-4</v>
      </c>
      <c r="F18" s="79">
        <v>0.12950740680532472</v>
      </c>
      <c r="G18" s="79">
        <v>0.4910223955093479</v>
      </c>
      <c r="H18" s="79">
        <v>0.12950740680532472</v>
      </c>
      <c r="I18" s="79">
        <v>0.4910223955093479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2.5309333659429426E-3</v>
      </c>
      <c r="C25">
        <v>3.6582969676579695E-2</v>
      </c>
      <c r="E25">
        <v>0.42016806722689076</v>
      </c>
      <c r="F25">
        <v>-0.14857566698817748</v>
      </c>
    </row>
    <row r="26" spans="1:9" x14ac:dyDescent="0.3">
      <c r="A26">
        <v>2</v>
      </c>
      <c r="B26">
        <v>2.9296660260146556E-2</v>
      </c>
      <c r="C26">
        <v>5.8715739619615119E-3</v>
      </c>
      <c r="E26">
        <v>1.2605042016806722</v>
      </c>
      <c r="F26">
        <v>-0.11950090481401598</v>
      </c>
    </row>
    <row r="27" spans="1:9" x14ac:dyDescent="0.3">
      <c r="A27">
        <v>3</v>
      </c>
      <c r="B27">
        <v>8.3948890369284004E-3</v>
      </c>
      <c r="C27">
        <v>-5.3849130581072165E-2</v>
      </c>
      <c r="E27">
        <v>2.1008403361344539</v>
      </c>
      <c r="F27">
        <v>-0.10778499551580425</v>
      </c>
    </row>
    <row r="28" spans="1:9" x14ac:dyDescent="0.3">
      <c r="A28">
        <v>4</v>
      </c>
      <c r="B28">
        <v>2.4613939288915081E-2</v>
      </c>
      <c r="C28">
        <v>-4.566993057708843E-3</v>
      </c>
      <c r="E28">
        <v>2.9411764705882351</v>
      </c>
      <c r="F28">
        <v>-0.10402032439427157</v>
      </c>
    </row>
    <row r="29" spans="1:9" x14ac:dyDescent="0.3">
      <c r="A29">
        <v>5</v>
      </c>
      <c r="B29">
        <v>2.5419684343410819E-2</v>
      </c>
      <c r="C29">
        <v>1.3097473681697412E-2</v>
      </c>
      <c r="E29">
        <v>3.7815126050420167</v>
      </c>
      <c r="F29">
        <v>-0.10294584334469083</v>
      </c>
    </row>
    <row r="30" spans="1:9" x14ac:dyDescent="0.3">
      <c r="A30">
        <v>6</v>
      </c>
      <c r="B30">
        <v>2.0151920860119237E-2</v>
      </c>
      <c r="C30">
        <v>-3.2281530101220354E-2</v>
      </c>
      <c r="E30">
        <v>4.6218487394957988</v>
      </c>
      <c r="F30">
        <v>-9.2070407656488135E-2</v>
      </c>
    </row>
    <row r="31" spans="1:9" x14ac:dyDescent="0.3">
      <c r="A31">
        <v>7</v>
      </c>
      <c r="B31">
        <v>1.9306982396915799E-2</v>
      </c>
      <c r="C31">
        <v>-1.4840698241032568E-2</v>
      </c>
      <c r="E31">
        <v>5.46218487394958</v>
      </c>
      <c r="F31">
        <v>-9.0938694091200714E-2</v>
      </c>
    </row>
    <row r="32" spans="1:9" x14ac:dyDescent="0.3">
      <c r="A32">
        <v>8</v>
      </c>
      <c r="B32">
        <v>3.9861994313342497E-3</v>
      </c>
      <c r="C32">
        <v>3.349235257615611E-3</v>
      </c>
      <c r="E32">
        <v>6.302521008403362</v>
      </c>
      <c r="F32">
        <v>-7.4264460841663216E-2</v>
      </c>
    </row>
    <row r="33" spans="1:6" x14ac:dyDescent="0.3">
      <c r="A33">
        <v>9</v>
      </c>
      <c r="B33">
        <v>2.5383951443719188E-2</v>
      </c>
      <c r="C33">
        <v>3.5016372774506872E-2</v>
      </c>
      <c r="E33">
        <v>7.1428571428571432</v>
      </c>
      <c r="F33">
        <v>-6.9320251785869591E-2</v>
      </c>
    </row>
    <row r="34" spans="1:6" x14ac:dyDescent="0.3">
      <c r="A34">
        <v>10</v>
      </c>
      <c r="B34">
        <v>1.6148666625220541E-3</v>
      </c>
      <c r="C34">
        <v>1.0873770546949669E-2</v>
      </c>
      <c r="E34">
        <v>7.9831932773109244</v>
      </c>
      <c r="F34">
        <v>-6.9171724229952838E-2</v>
      </c>
    </row>
    <row r="35" spans="1:6" x14ac:dyDescent="0.3">
      <c r="A35">
        <v>11</v>
      </c>
      <c r="B35">
        <v>8.8556289785731122E-3</v>
      </c>
      <c r="C35">
        <v>-5.9923298243096355E-3</v>
      </c>
      <c r="E35">
        <v>8.8235294117647065</v>
      </c>
      <c r="F35">
        <v>-6.038565336053673E-2</v>
      </c>
    </row>
    <row r="36" spans="1:6" x14ac:dyDescent="0.3">
      <c r="A36">
        <v>12</v>
      </c>
      <c r="B36">
        <v>2.3447843432322122E-2</v>
      </c>
      <c r="C36">
        <v>4.4199912722392973E-2</v>
      </c>
      <c r="E36">
        <v>9.6638655462184886</v>
      </c>
      <c r="F36">
        <v>-4.5809941032164229E-2</v>
      </c>
    </row>
    <row r="37" spans="1:6" x14ac:dyDescent="0.3">
      <c r="A37">
        <v>13</v>
      </c>
      <c r="B37">
        <v>1.939353523531958E-2</v>
      </c>
      <c r="C37">
        <v>4.6532316569603757E-3</v>
      </c>
      <c r="E37">
        <v>10.504201680672269</v>
      </c>
      <c r="F37">
        <v>-4.5454241544143764E-2</v>
      </c>
    </row>
    <row r="38" spans="1:6" x14ac:dyDescent="0.3">
      <c r="A38">
        <v>14</v>
      </c>
      <c r="B38">
        <v>1.3506859315748689E-2</v>
      </c>
      <c r="C38">
        <v>-4.7481085733340672E-2</v>
      </c>
      <c r="E38">
        <v>11.344537815126051</v>
      </c>
      <c r="F38">
        <v>-4.4969122890846196E-2</v>
      </c>
    </row>
    <row r="39" spans="1:6" x14ac:dyDescent="0.3">
      <c r="A39">
        <v>15</v>
      </c>
      <c r="B39">
        <v>2.5188862268847992E-2</v>
      </c>
      <c r="C39">
        <v>3.4262726910936785E-2</v>
      </c>
      <c r="E39">
        <v>12.184873949579833</v>
      </c>
      <c r="F39">
        <v>-4.3803062623955752E-2</v>
      </c>
    </row>
    <row r="40" spans="1:6" x14ac:dyDescent="0.3">
      <c r="A40">
        <v>16</v>
      </c>
      <c r="B40">
        <v>7.5231914632948793E-3</v>
      </c>
      <c r="C40">
        <v>-4.814106510707495E-2</v>
      </c>
      <c r="E40">
        <v>13.025210084033613</v>
      </c>
      <c r="F40">
        <v>-4.061787364378007E-2</v>
      </c>
    </row>
    <row r="41" spans="1:6" x14ac:dyDescent="0.3">
      <c r="A41">
        <v>17</v>
      </c>
      <c r="B41">
        <v>1.8372567067834362E-2</v>
      </c>
      <c r="C41">
        <v>8.8200124315911732E-2</v>
      </c>
      <c r="E41">
        <v>13.865546218487395</v>
      </c>
      <c r="F41">
        <v>-4.0266090761506584E-2</v>
      </c>
    </row>
    <row r="42" spans="1:6" x14ac:dyDescent="0.3">
      <c r="A42">
        <v>18</v>
      </c>
      <c r="B42">
        <v>2.3438851623969446E-2</v>
      </c>
      <c r="C42">
        <v>-2.9434689137798366E-2</v>
      </c>
      <c r="E42">
        <v>14.705882352941178</v>
      </c>
      <c r="F42">
        <v>-3.973219744910364E-2</v>
      </c>
    </row>
    <row r="43" spans="1:6" x14ac:dyDescent="0.3">
      <c r="A43">
        <v>19</v>
      </c>
      <c r="B43">
        <v>2.7788558112684441E-3</v>
      </c>
      <c r="C43">
        <v>7.8592366755399906E-3</v>
      </c>
      <c r="E43">
        <v>15.546218487394958</v>
      </c>
      <c r="F43">
        <v>-3.6694012428878438E-2</v>
      </c>
    </row>
    <row r="44" spans="1:6" x14ac:dyDescent="0.3">
      <c r="A44">
        <v>20</v>
      </c>
      <c r="B44">
        <v>3.6053807130148616E-3</v>
      </c>
      <c r="C44">
        <v>4.9678178736986399E-2</v>
      </c>
      <c r="E44">
        <v>16.386554621848738</v>
      </c>
      <c r="F44">
        <v>-3.3974226417591985E-2</v>
      </c>
    </row>
    <row r="45" spans="1:6" x14ac:dyDescent="0.3">
      <c r="A45">
        <v>21</v>
      </c>
      <c r="B45">
        <v>3.1896360182343694E-2</v>
      </c>
      <c r="C45">
        <v>-6.8590372611222139E-2</v>
      </c>
      <c r="E45">
        <v>17.22689075630252</v>
      </c>
      <c r="F45">
        <v>-3.2207958451681382E-2</v>
      </c>
    </row>
    <row r="46" spans="1:6" x14ac:dyDescent="0.3">
      <c r="A46">
        <v>22</v>
      </c>
      <c r="B46">
        <v>2.564903407043447E-3</v>
      </c>
      <c r="C46">
        <v>5.4549388695285242E-3</v>
      </c>
      <c r="E46">
        <v>18.067226890756302</v>
      </c>
      <c r="F46">
        <v>-3.0264380992688154E-2</v>
      </c>
    </row>
    <row r="47" spans="1:6" x14ac:dyDescent="0.3">
      <c r="A47">
        <v>23</v>
      </c>
      <c r="B47">
        <v>1.5807074063900341E-2</v>
      </c>
      <c r="C47">
        <v>-1.008837791556976E-2</v>
      </c>
      <c r="E47">
        <v>18.907563025210084</v>
      </c>
      <c r="F47">
        <v>-2.9563083148413091E-2</v>
      </c>
    </row>
    <row r="48" spans="1:6" x14ac:dyDescent="0.3">
      <c r="A48">
        <v>24</v>
      </c>
      <c r="B48">
        <v>1.6646470190674258E-2</v>
      </c>
      <c r="C48">
        <v>-4.6910851183362412E-2</v>
      </c>
      <c r="E48">
        <v>19.747899159663863</v>
      </c>
      <c r="F48">
        <v>-2.2837754690876677E-2</v>
      </c>
    </row>
    <row r="49" spans="1:6" x14ac:dyDescent="0.3">
      <c r="A49">
        <v>25</v>
      </c>
      <c r="B49">
        <v>2.3665469174548306E-3</v>
      </c>
      <c r="C49">
        <v>-7.6631007759118047E-2</v>
      </c>
      <c r="E49">
        <v>20.588235294117645</v>
      </c>
      <c r="F49">
        <v>-2.1204822265631189E-2</v>
      </c>
    </row>
    <row r="50" spans="1:6" x14ac:dyDescent="0.3">
      <c r="A50">
        <v>26</v>
      </c>
      <c r="B50">
        <v>2.3598903450733774E-2</v>
      </c>
      <c r="C50">
        <v>4.3849075961285761E-2</v>
      </c>
      <c r="E50">
        <v>21.428571428571427</v>
      </c>
      <c r="F50">
        <v>-2.0133310310378769E-2</v>
      </c>
    </row>
    <row r="51" spans="1:6" x14ac:dyDescent="0.3">
      <c r="A51">
        <v>27</v>
      </c>
      <c r="B51">
        <v>-1.1212970211169796E-2</v>
      </c>
      <c r="C51">
        <v>1.1791111278167996E-2</v>
      </c>
      <c r="E51">
        <v>22.268907563025209</v>
      </c>
      <c r="F51">
        <v>-1.9809639932833495E-2</v>
      </c>
    </row>
    <row r="52" spans="1:6" x14ac:dyDescent="0.3">
      <c r="A52">
        <v>28</v>
      </c>
      <c r="B52">
        <v>3.2514509157304909E-3</v>
      </c>
      <c r="C52">
        <v>6.4236754717729064E-2</v>
      </c>
      <c r="E52">
        <v>23.109243697478991</v>
      </c>
      <c r="F52">
        <v>-1.8367092742626927E-2</v>
      </c>
    </row>
    <row r="53" spans="1:6" x14ac:dyDescent="0.3">
      <c r="A53">
        <v>29</v>
      </c>
      <c r="B53">
        <v>4.4751400445663433E-2</v>
      </c>
      <c r="C53">
        <v>-3.35729363979103E-3</v>
      </c>
      <c r="E53">
        <v>23.949579831932773</v>
      </c>
      <c r="F53">
        <v>-1.8171372687332613E-2</v>
      </c>
    </row>
    <row r="54" spans="1:6" x14ac:dyDescent="0.3">
      <c r="A54">
        <v>30</v>
      </c>
      <c r="B54">
        <v>1.1085950361643865E-2</v>
      </c>
      <c r="C54">
        <v>-4.1124905177667087E-3</v>
      </c>
      <c r="E54">
        <v>24.789915966386552</v>
      </c>
      <c r="F54">
        <v>-1.212960924110112E-2</v>
      </c>
    </row>
    <row r="55" spans="1:6" x14ac:dyDescent="0.3">
      <c r="A55">
        <v>31</v>
      </c>
      <c r="B55">
        <v>5.3008927112697208E-3</v>
      </c>
      <c r="C55">
        <v>3.525401915395121E-2</v>
      </c>
      <c r="E55">
        <v>25.630252100840334</v>
      </c>
      <c r="F55">
        <v>-1.2053982956386855E-2</v>
      </c>
    </row>
    <row r="56" spans="1:6" x14ac:dyDescent="0.3">
      <c r="A56">
        <v>32</v>
      </c>
      <c r="B56">
        <v>-1.1177263074530503E-2</v>
      </c>
      <c r="C56">
        <v>9.7537037590324005E-2</v>
      </c>
      <c r="E56">
        <v>26.470588235294116</v>
      </c>
      <c r="F56">
        <v>-1.0689406807588517E-2</v>
      </c>
    </row>
    <row r="57" spans="1:6" x14ac:dyDescent="0.3">
      <c r="A57">
        <v>33</v>
      </c>
      <c r="B57">
        <v>4.3804129588801855E-3</v>
      </c>
      <c r="C57">
        <v>-5.7668912749943985E-3</v>
      </c>
      <c r="E57">
        <v>27.310924369747898</v>
      </c>
      <c r="F57">
        <v>-1.0517034548746744E-2</v>
      </c>
    </row>
    <row r="58" spans="1:6" x14ac:dyDescent="0.3">
      <c r="A58">
        <v>34</v>
      </c>
      <c r="B58">
        <v>3.0905882362986772E-2</v>
      </c>
      <c r="C58">
        <v>3.8017047340779389E-2</v>
      </c>
      <c r="E58">
        <v>28.15126050420168</v>
      </c>
      <c r="F58">
        <v>-8.1584293618515175E-3</v>
      </c>
    </row>
    <row r="59" spans="1:6" x14ac:dyDescent="0.3">
      <c r="A59">
        <v>35</v>
      </c>
      <c r="B59">
        <v>1.8828413227244684E-4</v>
      </c>
      <c r="C59">
        <v>5.537574385765421E-2</v>
      </c>
      <c r="E59">
        <v>28.991596638655462</v>
      </c>
      <c r="F59">
        <v>-7.7276632298750635E-3</v>
      </c>
    </row>
    <row r="60" spans="1:6" x14ac:dyDescent="0.3">
      <c r="A60">
        <v>36</v>
      </c>
      <c r="B60">
        <v>2.3088884441164435E-2</v>
      </c>
      <c r="C60">
        <v>-4.6722267438895002E-3</v>
      </c>
      <c r="E60">
        <v>29.831932773109244</v>
      </c>
      <c r="F60">
        <v>-6.2183357543747937E-3</v>
      </c>
    </row>
    <row r="61" spans="1:6" x14ac:dyDescent="0.3">
      <c r="A61">
        <v>37</v>
      </c>
      <c r="B61">
        <v>2.7565874058378612E-3</v>
      </c>
      <c r="C61">
        <v>0.14350277491149874</v>
      </c>
      <c r="E61">
        <v>30.672268907563023</v>
      </c>
      <c r="F61">
        <v>-5.9958375138289216E-3</v>
      </c>
    </row>
    <row r="62" spans="1:6" x14ac:dyDescent="0.3">
      <c r="A62">
        <v>38</v>
      </c>
      <c r="B62">
        <v>3.198914256568923E-2</v>
      </c>
      <c r="C62">
        <v>-5.4826897256565907E-2</v>
      </c>
      <c r="E62">
        <v>31.512605042016805</v>
      </c>
      <c r="F62">
        <v>-2.4660539802080447E-3</v>
      </c>
    </row>
    <row r="63" spans="1:6" x14ac:dyDescent="0.3">
      <c r="A63">
        <v>39</v>
      </c>
      <c r="B63">
        <v>1.2716932295921302E-2</v>
      </c>
      <c r="C63">
        <v>-0.11673725669019287</v>
      </c>
      <c r="E63">
        <v>32.352941176470587</v>
      </c>
      <c r="F63">
        <v>-1.8010426270408371E-3</v>
      </c>
    </row>
    <row r="64" spans="1:6" x14ac:dyDescent="0.3">
      <c r="A64">
        <v>40</v>
      </c>
      <c r="B64">
        <v>1.6844973642045884E-2</v>
      </c>
      <c r="C64">
        <v>-6.6226963896958563E-4</v>
      </c>
      <c r="E64">
        <v>33.193277310924366</v>
      </c>
      <c r="F64">
        <v>-1.3864783161142125E-3</v>
      </c>
    </row>
    <row r="65" spans="1:6" x14ac:dyDescent="0.3">
      <c r="A65">
        <v>41</v>
      </c>
      <c r="B65">
        <v>5.3031214001203041E-3</v>
      </c>
      <c r="C65">
        <v>-1.5992528207708821E-2</v>
      </c>
      <c r="E65">
        <v>34.033613445378151</v>
      </c>
      <c r="F65">
        <v>5.7814106699819975E-4</v>
      </c>
    </row>
    <row r="66" spans="1:6" x14ac:dyDescent="0.3">
      <c r="A66">
        <v>42</v>
      </c>
      <c r="B66">
        <v>1.0655972196590991E-2</v>
      </c>
      <c r="C66">
        <v>-3.1860794462222182E-2</v>
      </c>
      <c r="E66">
        <v>34.87394957983193</v>
      </c>
      <c r="F66">
        <v>2.2001228050093405E-3</v>
      </c>
    </row>
    <row r="67" spans="1:6" x14ac:dyDescent="0.3">
      <c r="A67">
        <v>43</v>
      </c>
      <c r="B67">
        <v>1.3445374949213464E-2</v>
      </c>
      <c r="C67">
        <v>-9.6303644495853245E-3</v>
      </c>
      <c r="E67">
        <v>35.714285714285715</v>
      </c>
      <c r="F67">
        <v>2.3165663709792516E-3</v>
      </c>
    </row>
    <row r="68" spans="1:6" x14ac:dyDescent="0.3">
      <c r="A68">
        <v>44</v>
      </c>
      <c r="B68">
        <v>2.6188672179404324E-2</v>
      </c>
      <c r="C68">
        <v>-1.1263018285384592E-2</v>
      </c>
      <c r="E68">
        <v>36.554621848739494</v>
      </c>
      <c r="F68">
        <v>2.8632991542634767E-3</v>
      </c>
    </row>
    <row r="69" spans="1:6" x14ac:dyDescent="0.3">
      <c r="A69">
        <v>45</v>
      </c>
      <c r="B69">
        <v>2.2987880160348906E-2</v>
      </c>
      <c r="C69">
        <v>3.9103376804957249E-2</v>
      </c>
      <c r="E69">
        <v>37.394957983193279</v>
      </c>
      <c r="F69">
        <v>3.8150104996281403E-3</v>
      </c>
    </row>
    <row r="70" spans="1:6" x14ac:dyDescent="0.3">
      <c r="A70">
        <v>46</v>
      </c>
      <c r="B70">
        <v>1.620483255689862E-2</v>
      </c>
      <c r="C70">
        <v>-1.4004709751889279E-2</v>
      </c>
      <c r="E70">
        <v>38.235294117647058</v>
      </c>
      <c r="F70">
        <v>3.8519845913892203E-3</v>
      </c>
    </row>
    <row r="71" spans="1:6" x14ac:dyDescent="0.3">
      <c r="A71">
        <v>47</v>
      </c>
      <c r="B71">
        <v>1.8446402936733608E-2</v>
      </c>
      <c r="C71">
        <v>7.1418071290000502E-3</v>
      </c>
      <c r="E71">
        <v>39.075630252100837</v>
      </c>
      <c r="F71">
        <v>4.0140058763824009E-3</v>
      </c>
    </row>
    <row r="72" spans="1:6" x14ac:dyDescent="0.3">
      <c r="A72">
        <v>48</v>
      </c>
      <c r="B72">
        <v>2.1445900701455529E-2</v>
      </c>
      <c r="C72">
        <v>-4.1255540634289024E-2</v>
      </c>
      <c r="E72">
        <v>39.915966386554622</v>
      </c>
      <c r="F72">
        <v>4.4662841558832317E-3</v>
      </c>
    </row>
    <row r="73" spans="1:6" x14ac:dyDescent="0.3">
      <c r="A73">
        <v>49</v>
      </c>
      <c r="B73">
        <v>2.4350815356937354E-3</v>
      </c>
      <c r="C73">
        <v>-1.1851516471448383E-4</v>
      </c>
      <c r="E73">
        <v>40.756302521008401</v>
      </c>
      <c r="F73">
        <v>5.269151035068205E-3</v>
      </c>
    </row>
    <row r="74" spans="1:6" x14ac:dyDescent="0.3">
      <c r="A74">
        <v>50</v>
      </c>
      <c r="B74">
        <v>2.2863990941213511E-2</v>
      </c>
      <c r="C74">
        <v>1.7546173538870613E-2</v>
      </c>
      <c r="E74">
        <v>41.596638655462186</v>
      </c>
      <c r="F74">
        <v>5.718696148330581E-3</v>
      </c>
    </row>
    <row r="75" spans="1:6" x14ac:dyDescent="0.3">
      <c r="A75">
        <v>51</v>
      </c>
      <c r="B75">
        <v>1.5752151611105769E-2</v>
      </c>
      <c r="C75">
        <v>-1.8218205591313815E-2</v>
      </c>
      <c r="E75">
        <v>42.436974789915965</v>
      </c>
      <c r="F75">
        <v>6.365702388501069E-3</v>
      </c>
    </row>
    <row r="76" spans="1:6" x14ac:dyDescent="0.3">
      <c r="A76">
        <v>52</v>
      </c>
      <c r="B76">
        <v>9.5576400618770773E-3</v>
      </c>
      <c r="C76">
        <v>-4.2884890268088723E-3</v>
      </c>
      <c r="E76">
        <v>43.27731092436975</v>
      </c>
      <c r="F76">
        <v>6.9734598438771561E-3</v>
      </c>
    </row>
    <row r="77" spans="1:6" x14ac:dyDescent="0.3">
      <c r="A77">
        <v>53</v>
      </c>
      <c r="B77">
        <v>2.4011352391926494E-2</v>
      </c>
      <c r="C77">
        <v>6.0650738331848919E-2</v>
      </c>
      <c r="E77">
        <v>44.117647058823529</v>
      </c>
      <c r="F77">
        <v>7.3354346889498608E-3</v>
      </c>
    </row>
    <row r="78" spans="1:6" x14ac:dyDescent="0.3">
      <c r="A78">
        <v>54</v>
      </c>
      <c r="B78">
        <v>1.5848978703448788E-2</v>
      </c>
      <c r="C78">
        <v>2.7450685724937984E-2</v>
      </c>
      <c r="E78">
        <v>44.957983193277308</v>
      </c>
      <c r="F78">
        <v>8.0198422765719712E-3</v>
      </c>
    </row>
    <row r="79" spans="1:6" x14ac:dyDescent="0.3">
      <c r="A79">
        <v>55</v>
      </c>
      <c r="B79">
        <v>1.15436274014231E-2</v>
      </c>
      <c r="C79">
        <v>-7.6916428100338805E-3</v>
      </c>
      <c r="E79">
        <v>45.798319327731093</v>
      </c>
      <c r="F79">
        <v>9.1027219317305202E-3</v>
      </c>
    </row>
    <row r="80" spans="1:6" x14ac:dyDescent="0.3">
      <c r="A80">
        <v>56</v>
      </c>
      <c r="B80">
        <v>3.6890976391541985E-2</v>
      </c>
      <c r="C80">
        <v>-0.12782967048274269</v>
      </c>
      <c r="E80">
        <v>46.638655462184872</v>
      </c>
      <c r="F80">
        <v>1.0243160766399261E-2</v>
      </c>
    </row>
    <row r="81" spans="1:6" x14ac:dyDescent="0.3">
      <c r="A81">
        <v>57</v>
      </c>
      <c r="B81">
        <v>5.7729841676368646E-3</v>
      </c>
      <c r="C81">
        <v>-5.1582925199801094E-2</v>
      </c>
      <c r="E81">
        <v>47.478991596638657</v>
      </c>
      <c r="F81">
        <v>1.0638092486808436E-2</v>
      </c>
    </row>
    <row r="82" spans="1:6" x14ac:dyDescent="0.3">
      <c r="A82">
        <v>58</v>
      </c>
      <c r="B82">
        <v>-2.3309757043289882E-3</v>
      </c>
      <c r="C82">
        <v>4.2712979103543568E-2</v>
      </c>
      <c r="E82">
        <v>48.319327731092436</v>
      </c>
      <c r="F82">
        <v>1.2488637209471723E-2</v>
      </c>
    </row>
    <row r="83" spans="1:6" x14ac:dyDescent="0.3">
      <c r="A83">
        <v>59</v>
      </c>
      <c r="B83">
        <v>1.1191693156664694E-2</v>
      </c>
      <c r="C83">
        <v>4.299082128791995E-2</v>
      </c>
      <c r="E83">
        <v>49.159663865546214</v>
      </c>
      <c r="F83">
        <v>1.4925653894019732E-2</v>
      </c>
    </row>
    <row r="84" spans="1:6" x14ac:dyDescent="0.3">
      <c r="A84">
        <v>60</v>
      </c>
      <c r="B84">
        <v>2.7050214363331652E-2</v>
      </c>
      <c r="C84">
        <v>-6.6782411812435299E-2</v>
      </c>
      <c r="E84">
        <v>50</v>
      </c>
      <c r="F84">
        <v>1.6182704003076299E-2</v>
      </c>
    </row>
    <row r="85" spans="1:6" x14ac:dyDescent="0.3">
      <c r="A85">
        <v>61</v>
      </c>
      <c r="B85">
        <v>1.3293195508104167E-2</v>
      </c>
      <c r="C85">
        <v>1.9294188616425647E-2</v>
      </c>
      <c r="E85">
        <v>50.840336134453779</v>
      </c>
      <c r="F85">
        <v>1.7813702849870432E-2</v>
      </c>
    </row>
    <row r="86" spans="1:6" x14ac:dyDescent="0.3">
      <c r="A86">
        <v>62</v>
      </c>
      <c r="B86">
        <v>1.8464163118175725E-2</v>
      </c>
      <c r="C86">
        <v>1.5150345471811107E-2</v>
      </c>
      <c r="E86">
        <v>51.680672268907564</v>
      </c>
      <c r="F86">
        <v>1.7815352353448624E-2</v>
      </c>
    </row>
    <row r="87" spans="1:6" x14ac:dyDescent="0.3">
      <c r="A87">
        <v>63</v>
      </c>
      <c r="B87">
        <v>2.8168484056000479E-2</v>
      </c>
      <c r="C87">
        <v>-3.6326913417851998E-2</v>
      </c>
      <c r="E87">
        <v>52.521008403361343</v>
      </c>
      <c r="F87">
        <v>1.8416657697274935E-2</v>
      </c>
    </row>
    <row r="88" spans="1:6" x14ac:dyDescent="0.3">
      <c r="A88">
        <v>64</v>
      </c>
      <c r="B88">
        <v>8.9491368702408688E-3</v>
      </c>
      <c r="C88">
        <v>1.2940238961583923E-3</v>
      </c>
      <c r="E88">
        <v>53.361344537815128</v>
      </c>
      <c r="F88">
        <v>1.9068378580914005E-2</v>
      </c>
    </row>
    <row r="89" spans="1:6" x14ac:dyDescent="0.3">
      <c r="A89">
        <v>65</v>
      </c>
      <c r="B89">
        <v>-1.682926887567212E-2</v>
      </c>
      <c r="C89">
        <v>2.3194971264173189E-2</v>
      </c>
      <c r="E89">
        <v>54.201680672268907</v>
      </c>
      <c r="F89">
        <v>1.9351363739684758E-2</v>
      </c>
    </row>
    <row r="90" spans="1:6" x14ac:dyDescent="0.3">
      <c r="A90">
        <v>66</v>
      </c>
      <c r="B90">
        <v>9.2338670576347457E-3</v>
      </c>
      <c r="C90">
        <v>6.8479963363812721E-2</v>
      </c>
      <c r="E90">
        <v>55.042016806722685</v>
      </c>
      <c r="F90">
        <v>2.0046946231206238E-2</v>
      </c>
    </row>
    <row r="91" spans="1:6" x14ac:dyDescent="0.3">
      <c r="A91">
        <v>67</v>
      </c>
      <c r="B91">
        <v>-1.7599887699061251E-2</v>
      </c>
      <c r="C91">
        <v>-2.62031749248945E-2</v>
      </c>
      <c r="E91">
        <v>55.882352941176471</v>
      </c>
      <c r="F91">
        <v>2.1912703190910533E-2</v>
      </c>
    </row>
    <row r="92" spans="1:6" x14ac:dyDescent="0.3">
      <c r="A92">
        <v>68</v>
      </c>
      <c r="B92">
        <v>3.8314874760920839E-2</v>
      </c>
      <c r="C92">
        <v>1.566782946972619E-2</v>
      </c>
      <c r="E92">
        <v>56.72268907563025</v>
      </c>
      <c r="F92">
        <v>2.4046766892279955E-2</v>
      </c>
    </row>
    <row r="93" spans="1:6" x14ac:dyDescent="0.3">
      <c r="A93">
        <v>69</v>
      </c>
      <c r="B93">
        <v>1.8605540023713472E-2</v>
      </c>
      <c r="C93">
        <v>4.3587317688793911E-2</v>
      </c>
      <c r="E93">
        <v>57.563025210084035</v>
      </c>
      <c r="F93">
        <v>2.5588210065733658E-2</v>
      </c>
    </row>
    <row r="94" spans="1:6" x14ac:dyDescent="0.3">
      <c r="A94">
        <v>70</v>
      </c>
      <c r="B94">
        <v>2.2333754992399375E-2</v>
      </c>
      <c r="C94">
        <v>8.538450346561751E-3</v>
      </c>
      <c r="E94">
        <v>58.403361344537814</v>
      </c>
      <c r="F94">
        <v>2.6702532541755201E-2</v>
      </c>
    </row>
    <row r="95" spans="1:6" x14ac:dyDescent="0.3">
      <c r="A95">
        <v>71</v>
      </c>
      <c r="B95">
        <v>2.6971917790891357E-2</v>
      </c>
      <c r="C95">
        <v>1.0722364197805943E-2</v>
      </c>
      <c r="E95">
        <v>59.243697478991599</v>
      </c>
      <c r="F95">
        <v>2.8840855017219127E-2</v>
      </c>
    </row>
    <row r="96" spans="1:6" x14ac:dyDescent="0.3">
      <c r="A96">
        <v>72</v>
      </c>
      <c r="B96">
        <v>-1.6017083138965209E-2</v>
      </c>
      <c r="C96">
        <v>6.0660805477199146E-2</v>
      </c>
      <c r="E96">
        <v>60.084033613445378</v>
      </c>
      <c r="F96">
        <v>3.0407044624418435E-2</v>
      </c>
    </row>
    <row r="97" spans="1:6" x14ac:dyDescent="0.3">
      <c r="A97">
        <v>73</v>
      </c>
      <c r="B97">
        <v>3.3680342127302323E-2</v>
      </c>
      <c r="C97">
        <v>-2.4620637739966728E-3</v>
      </c>
      <c r="E97">
        <v>60.924369747899156</v>
      </c>
      <c r="F97">
        <v>3.0872205338961126E-2</v>
      </c>
    </row>
    <row r="98" spans="1:6" x14ac:dyDescent="0.3">
      <c r="A98">
        <v>74</v>
      </c>
      <c r="B98">
        <v>1.7226732830512698E-2</v>
      </c>
      <c r="C98">
        <v>-2.7743767379259442E-2</v>
      </c>
      <c r="E98">
        <v>61.764705882352942</v>
      </c>
      <c r="F98">
        <v>3.1218278353305651E-2</v>
      </c>
    </row>
    <row r="99" spans="1:6" x14ac:dyDescent="0.3">
      <c r="A99">
        <v>75</v>
      </c>
      <c r="B99">
        <v>3.8023934041357919E-3</v>
      </c>
      <c r="C99">
        <v>0.10544986290077503</v>
      </c>
      <c r="E99">
        <v>62.605042016806721</v>
      </c>
      <c r="F99">
        <v>3.2587384124529814E-2</v>
      </c>
    </row>
    <row r="100" spans="1:6" x14ac:dyDescent="0.3">
      <c r="A100">
        <v>76</v>
      </c>
      <c r="B100">
        <v>1.2397437869699494E-2</v>
      </c>
      <c r="C100">
        <v>-3.2530748180078263E-2</v>
      </c>
      <c r="E100">
        <v>63.445378151260506</v>
      </c>
      <c r="F100">
        <v>3.3614508589986831E-2</v>
      </c>
    </row>
    <row r="101" spans="1:6" x14ac:dyDescent="0.3">
      <c r="A101">
        <v>77</v>
      </c>
      <c r="B101">
        <v>2.3427055739566834E-2</v>
      </c>
      <c r="C101">
        <v>-3.1154718969441896E-2</v>
      </c>
      <c r="E101">
        <v>64.285714285714292</v>
      </c>
      <c r="F101">
        <v>3.5168234222108068E-2</v>
      </c>
    </row>
    <row r="102" spans="1:6" x14ac:dyDescent="0.3">
      <c r="A102">
        <v>78</v>
      </c>
      <c r="B102">
        <v>2.2315606191016753E-2</v>
      </c>
      <c r="C102">
        <v>-4.0486978878349365E-2</v>
      </c>
      <c r="E102">
        <v>65.12605042016807</v>
      </c>
      <c r="F102">
        <v>3.6163280587936809E-2</v>
      </c>
    </row>
    <row r="103" spans="1:6" x14ac:dyDescent="0.3">
      <c r="A103">
        <v>79</v>
      </c>
      <c r="B103">
        <v>2.2200624216628592E-2</v>
      </c>
      <c r="C103">
        <v>-2.8492604769438344E-3</v>
      </c>
      <c r="E103">
        <v>65.966386554621849</v>
      </c>
      <c r="F103">
        <v>3.7694281988697301E-2</v>
      </c>
    </row>
    <row r="104" spans="1:6" x14ac:dyDescent="0.3">
      <c r="A104">
        <v>80</v>
      </c>
      <c r="B104">
        <v>1.9221211031929059E-2</v>
      </c>
      <c r="C104">
        <v>8.9447837903952207E-2</v>
      </c>
      <c r="E104">
        <v>66.806722689075642</v>
      </c>
      <c r="F104">
        <v>3.8517158025108231E-2</v>
      </c>
    </row>
    <row r="105" spans="1:6" x14ac:dyDescent="0.3">
      <c r="A105">
        <v>81</v>
      </c>
      <c r="B105">
        <v>-8.237873706607602E-3</v>
      </c>
      <c r="C105">
        <v>-8.3832533949880536E-2</v>
      </c>
      <c r="E105">
        <v>67.64705882352942</v>
      </c>
      <c r="F105">
        <v>3.8859860235292698E-2</v>
      </c>
    </row>
    <row r="106" spans="1:6" x14ac:dyDescent="0.3">
      <c r="A106">
        <v>82</v>
      </c>
      <c r="B106">
        <v>-1.3732452869110474E-2</v>
      </c>
      <c r="C106">
        <v>-1.5830630279302618E-2</v>
      </c>
      <c r="E106">
        <v>68.487394957983199</v>
      </c>
      <c r="F106">
        <v>3.9113903042522637E-2</v>
      </c>
    </row>
    <row r="107" spans="1:6" x14ac:dyDescent="0.3">
      <c r="A107">
        <v>83</v>
      </c>
      <c r="B107">
        <v>5.7174243919068474E-2</v>
      </c>
      <c r="C107">
        <v>-3.935889156561985E-2</v>
      </c>
      <c r="E107">
        <v>69.327731092436977</v>
      </c>
      <c r="F107">
        <v>4.0382003399214578E-2</v>
      </c>
    </row>
    <row r="108" spans="1:6" x14ac:dyDescent="0.3">
      <c r="A108">
        <v>84</v>
      </c>
      <c r="B108">
        <v>2.9172106809609494E-2</v>
      </c>
      <c r="C108">
        <v>1.4463377105723665E-2</v>
      </c>
      <c r="E108">
        <v>70.16806722689077</v>
      </c>
      <c r="F108">
        <v>4.0410164480084124E-2</v>
      </c>
    </row>
    <row r="109" spans="1:6" x14ac:dyDescent="0.3">
      <c r="A109">
        <v>85</v>
      </c>
      <c r="B109">
        <v>2.9564120856555715E-2</v>
      </c>
      <c r="C109">
        <v>-1.1750418006685283E-2</v>
      </c>
      <c r="E109">
        <v>71.008403361344548</v>
      </c>
      <c r="F109">
        <v>4.0488264680736463E-2</v>
      </c>
    </row>
    <row r="110" spans="1:6" x14ac:dyDescent="0.3">
      <c r="A110">
        <v>86</v>
      </c>
      <c r="B110">
        <v>3.2920375758143341E-2</v>
      </c>
      <c r="C110">
        <v>0.11172428976875091</v>
      </c>
      <c r="E110">
        <v>71.848739495798327</v>
      </c>
      <c r="F110">
        <v>4.0554911865220929E-2</v>
      </c>
    </row>
    <row r="111" spans="1:6" x14ac:dyDescent="0.3">
      <c r="A111">
        <v>87</v>
      </c>
      <c r="B111">
        <v>4.4315803708643679E-2</v>
      </c>
      <c r="C111">
        <v>-8.4581894470150271E-2</v>
      </c>
      <c r="E111">
        <v>72.689075630252105</v>
      </c>
      <c r="F111">
        <v>4.1394106805872403E-2</v>
      </c>
    </row>
    <row r="112" spans="1:6" x14ac:dyDescent="0.3">
      <c r="A112">
        <v>88</v>
      </c>
      <c r="B112">
        <v>-7.7053287925474452E-3</v>
      </c>
      <c r="C112">
        <v>3.6546183809766569E-2</v>
      </c>
      <c r="E112">
        <v>73.529411764705884</v>
      </c>
      <c r="F112">
        <v>4.3299664428386772E-2</v>
      </c>
    </row>
    <row r="113" spans="1:6" x14ac:dyDescent="0.3">
      <c r="A113">
        <v>89</v>
      </c>
      <c r="B113">
        <v>1.1830130906772054E-4</v>
      </c>
      <c r="C113">
        <v>3.8741558926224981E-2</v>
      </c>
      <c r="E113">
        <v>74.369747899159677</v>
      </c>
      <c r="F113">
        <v>4.3635483915333159E-2</v>
      </c>
    </row>
    <row r="114" spans="1:6" x14ac:dyDescent="0.3">
      <c r="A114">
        <v>90</v>
      </c>
      <c r="B114">
        <v>4.4155864969774652E-2</v>
      </c>
      <c r="C114">
        <v>-2.5087486388860648E-2</v>
      </c>
      <c r="E114">
        <v>75.210084033613455</v>
      </c>
      <c r="F114">
        <v>4.4172327194295841E-2</v>
      </c>
    </row>
    <row r="115" spans="1:6" x14ac:dyDescent="0.3">
      <c r="A115">
        <v>91</v>
      </c>
      <c r="B115">
        <v>2.5718222220407629E-2</v>
      </c>
      <c r="C115">
        <v>-2.1704216344025227E-2</v>
      </c>
      <c r="E115">
        <v>76.050420168067234</v>
      </c>
      <c r="F115">
        <v>4.4643722338233938E-2</v>
      </c>
    </row>
    <row r="116" spans="1:6" x14ac:dyDescent="0.3">
      <c r="A116">
        <v>92</v>
      </c>
      <c r="B116">
        <v>1.0932595555064532E-2</v>
      </c>
      <c r="C116">
        <v>2.5230685032872277E-2</v>
      </c>
      <c r="E116">
        <v>76.890756302521012</v>
      </c>
      <c r="F116">
        <v>4.4834309399466775E-2</v>
      </c>
    </row>
    <row r="117" spans="1:6" x14ac:dyDescent="0.3">
      <c r="A117">
        <v>93</v>
      </c>
      <c r="B117">
        <v>9.6568656361789174E-3</v>
      </c>
      <c r="C117">
        <v>-0.11744186115198317</v>
      </c>
      <c r="E117">
        <v>77.731092436974791</v>
      </c>
      <c r="F117">
        <v>4.7907392888044693E-2</v>
      </c>
    </row>
    <row r="118" spans="1:6" x14ac:dyDescent="0.3">
      <c r="A118">
        <v>94</v>
      </c>
      <c r="B118">
        <v>1.4413660980544196E-2</v>
      </c>
      <c r="C118">
        <v>4.5808986871540516E-2</v>
      </c>
      <c r="E118">
        <v>78.571428571428584</v>
      </c>
      <c r="F118">
        <v>5.328355945000126E-2</v>
      </c>
    </row>
    <row r="119" spans="1:6" x14ac:dyDescent="0.3">
      <c r="A119">
        <v>95</v>
      </c>
      <c r="B119">
        <v>2.8272218104196816E-2</v>
      </c>
      <c r="C119">
        <v>1.2216046576539647E-2</v>
      </c>
      <c r="E119">
        <v>79.411764705882362</v>
      </c>
      <c r="F119">
        <v>5.3982704230647029E-2</v>
      </c>
    </row>
    <row r="120" spans="1:6" x14ac:dyDescent="0.3">
      <c r="A120">
        <v>96</v>
      </c>
      <c r="B120">
        <v>6.1389982144037184E-3</v>
      </c>
      <c r="C120">
        <v>-1.2357333968778512E-2</v>
      </c>
      <c r="E120">
        <v>80.252100840336141</v>
      </c>
      <c r="F120">
        <v>5.4182514444584648E-2</v>
      </c>
    </row>
    <row r="121" spans="1:6" x14ac:dyDescent="0.3">
      <c r="A121">
        <v>97</v>
      </c>
      <c r="B121">
        <v>2.9723091492663799E-2</v>
      </c>
      <c r="C121">
        <v>-3.1524134119704637E-2</v>
      </c>
      <c r="E121">
        <v>81.092436974789919</v>
      </c>
      <c r="F121">
        <v>5.5564027989926656E-2</v>
      </c>
    </row>
    <row r="122" spans="1:6" x14ac:dyDescent="0.3">
      <c r="A122">
        <v>98</v>
      </c>
      <c r="B122">
        <v>1.8675016997100731E-2</v>
      </c>
      <c r="C122">
        <v>8.5003565404808606E-2</v>
      </c>
      <c r="E122">
        <v>81.932773109243698</v>
      </c>
      <c r="F122">
        <v>5.9451589179784776E-2</v>
      </c>
    </row>
    <row r="123" spans="1:6" x14ac:dyDescent="0.3">
      <c r="A123">
        <v>99</v>
      </c>
      <c r="B123">
        <v>2.2952256863435952E-2</v>
      </c>
      <c r="C123">
        <v>4.8413211762931979E-2</v>
      </c>
      <c r="E123">
        <v>82.77310924369749</v>
      </c>
      <c r="F123">
        <v>6.0222647852084712E-2</v>
      </c>
    </row>
    <row r="124" spans="1:6" x14ac:dyDescent="0.3">
      <c r="A124">
        <v>100</v>
      </c>
      <c r="B124">
        <v>-7.738933271525656E-3</v>
      </c>
      <c r="C124">
        <v>-6.1581318514343938E-2</v>
      </c>
      <c r="E124">
        <v>83.613445378151269</v>
      </c>
      <c r="F124">
        <v>6.0400324218226061E-2</v>
      </c>
    </row>
    <row r="125" spans="1:6" x14ac:dyDescent="0.3">
      <c r="A125">
        <v>101</v>
      </c>
      <c r="B125">
        <v>3.4558215388608884E-2</v>
      </c>
      <c r="C125">
        <v>-4.1511707641904497E-3</v>
      </c>
      <c r="E125">
        <v>84.453781512605048</v>
      </c>
      <c r="F125">
        <v>6.2091256965306152E-2</v>
      </c>
    </row>
    <row r="126" spans="1:6" x14ac:dyDescent="0.3">
      <c r="A126">
        <v>102</v>
      </c>
      <c r="B126">
        <v>1.562702400814231E-2</v>
      </c>
      <c r="C126">
        <v>-4.7834982459823691E-2</v>
      </c>
      <c r="E126">
        <v>85.294117647058826</v>
      </c>
      <c r="F126">
        <v>6.2192857712507384E-2</v>
      </c>
    </row>
    <row r="127" spans="1:6" x14ac:dyDescent="0.3">
      <c r="A127">
        <v>103</v>
      </c>
      <c r="B127">
        <v>1.358055195983817E-2</v>
      </c>
      <c r="C127">
        <v>0.11079634340347097</v>
      </c>
      <c r="E127">
        <v>86.134453781512619</v>
      </c>
      <c r="F127">
        <v>6.7447979412019535E-2</v>
      </c>
    </row>
    <row r="128" spans="1:6" x14ac:dyDescent="0.3">
      <c r="A128">
        <v>104</v>
      </c>
      <c r="B128">
        <v>-1.6386712884703523E-2</v>
      </c>
      <c r="C128">
        <v>-0.13218895410347395</v>
      </c>
      <c r="E128">
        <v>86.974789915966397</v>
      </c>
      <c r="F128">
        <v>6.7488205633459558E-2</v>
      </c>
    </row>
    <row r="129" spans="1:6" x14ac:dyDescent="0.3">
      <c r="A129">
        <v>105</v>
      </c>
      <c r="B129">
        <v>-4.3461269791603297E-3</v>
      </c>
      <c r="C129">
        <v>-5.6039526381376402E-2</v>
      </c>
      <c r="E129">
        <v>87.815126050420176</v>
      </c>
      <c r="F129">
        <v>6.7647756154715091E-2</v>
      </c>
    </row>
    <row r="130" spans="1:6" x14ac:dyDescent="0.3">
      <c r="A130">
        <v>106</v>
      </c>
      <c r="B130">
        <v>2.3129284610883316E-2</v>
      </c>
      <c r="C130">
        <v>7.6707886645338647E-2</v>
      </c>
      <c r="E130">
        <v>88.655462184873954</v>
      </c>
      <c r="F130">
        <v>6.8922929703766164E-2</v>
      </c>
    </row>
    <row r="131" spans="1:6" x14ac:dyDescent="0.3">
      <c r="A131">
        <v>107</v>
      </c>
      <c r="B131">
        <v>-3.1438425492963801E-2</v>
      </c>
      <c r="C131">
        <v>-3.7733298736989038E-2</v>
      </c>
      <c r="E131">
        <v>89.495798319327733</v>
      </c>
      <c r="F131">
        <v>7.1365468626367931E-2</v>
      </c>
    </row>
    <row r="132" spans="1:6" x14ac:dyDescent="0.3">
      <c r="A132">
        <v>108</v>
      </c>
      <c r="B132">
        <v>4.9057253268440532E-3</v>
      </c>
      <c r="C132">
        <v>-2.3272818069470978E-2</v>
      </c>
      <c r="E132">
        <v>90.336134453781526</v>
      </c>
      <c r="F132">
        <v>7.7713830421447472E-2</v>
      </c>
    </row>
    <row r="133" spans="1:6" x14ac:dyDescent="0.3">
      <c r="A133">
        <v>109</v>
      </c>
      <c r="B133">
        <v>-1.7898862209920752E-2</v>
      </c>
      <c r="C133">
        <v>5.8448792535338977E-3</v>
      </c>
      <c r="E133">
        <v>91.176470588235304</v>
      </c>
      <c r="F133">
        <v>8.466209072377541E-2</v>
      </c>
    </row>
    <row r="134" spans="1:6" x14ac:dyDescent="0.3">
      <c r="A134">
        <v>110</v>
      </c>
      <c r="B134">
        <v>4.899210654952111E-2</v>
      </c>
      <c r="C134">
        <v>-4.1577971500543348E-3</v>
      </c>
      <c r="E134">
        <v>92.016806722689083</v>
      </c>
      <c r="F134">
        <v>8.6359774515793505E-2</v>
      </c>
    </row>
    <row r="135" spans="1:6" x14ac:dyDescent="0.3">
      <c r="A135">
        <v>111</v>
      </c>
      <c r="B135">
        <v>-6.1576748796941631E-3</v>
      </c>
      <c r="C135">
        <v>-3.8811448011152036E-2</v>
      </c>
      <c r="E135">
        <v>92.857142857142861</v>
      </c>
      <c r="F135">
        <v>9.9837171256221963E-2</v>
      </c>
    </row>
    <row r="136" spans="1:6" x14ac:dyDescent="0.3">
      <c r="A136">
        <v>112</v>
      </c>
      <c r="B136">
        <v>-2.2847974686958844E-2</v>
      </c>
      <c r="C136">
        <v>-9.6652930127057141E-2</v>
      </c>
      <c r="E136">
        <v>93.69747899159664</v>
      </c>
      <c r="F136">
        <v>0.10367858240190933</v>
      </c>
    </row>
    <row r="137" spans="1:6" x14ac:dyDescent="0.3">
      <c r="A137">
        <v>113</v>
      </c>
      <c r="B137">
        <v>2.2322868652630945E-2</v>
      </c>
      <c r="C137">
        <v>9.4302718868042187E-2</v>
      </c>
      <c r="E137">
        <v>94.537815126050432</v>
      </c>
      <c r="F137">
        <v>0.10657269138374609</v>
      </c>
    </row>
    <row r="138" spans="1:6" x14ac:dyDescent="0.3">
      <c r="A138">
        <v>114</v>
      </c>
      <c r="B138">
        <v>2.7027417219426135E-2</v>
      </c>
      <c r="C138">
        <v>1.7144909974869706E-2</v>
      </c>
      <c r="E138">
        <v>95.378151260504211</v>
      </c>
      <c r="F138">
        <v>0.10866904893588127</v>
      </c>
    </row>
    <row r="139" spans="1:6" x14ac:dyDescent="0.3">
      <c r="A139">
        <v>115</v>
      </c>
      <c r="B139">
        <v>-1.808022658228017E-2</v>
      </c>
      <c r="C139">
        <v>2.718294851401069E-2</v>
      </c>
      <c r="E139">
        <v>96.21848739495799</v>
      </c>
      <c r="F139">
        <v>0.10925225630491082</v>
      </c>
    </row>
    <row r="140" spans="1:6" x14ac:dyDescent="0.3">
      <c r="A140">
        <v>116</v>
      </c>
      <c r="B140">
        <v>4.3000034702886464E-2</v>
      </c>
      <c r="C140">
        <v>-1.6297502161131263E-2</v>
      </c>
      <c r="E140">
        <v>97.058823529411768</v>
      </c>
      <c r="F140">
        <v>0.11662558752067313</v>
      </c>
    </row>
    <row r="141" spans="1:6" x14ac:dyDescent="0.3">
      <c r="A141">
        <v>117</v>
      </c>
      <c r="B141">
        <v>8.506105127119603E-3</v>
      </c>
      <c r="C141">
        <v>-0.11145194847181043</v>
      </c>
      <c r="E141">
        <v>97.899159663865547</v>
      </c>
      <c r="F141">
        <v>0.12437689536330915</v>
      </c>
    </row>
    <row r="142" spans="1:6" x14ac:dyDescent="0.3">
      <c r="A142">
        <v>118</v>
      </c>
      <c r="B142">
        <v>3.9391698542627737E-2</v>
      </c>
      <c r="C142">
        <v>8.5156943454169562E-3</v>
      </c>
      <c r="E142">
        <v>98.739495798319339</v>
      </c>
      <c r="F142">
        <v>0.14464466552689426</v>
      </c>
    </row>
    <row r="143" spans="1:6" ht="15" thickBot="1" x14ac:dyDescent="0.35">
      <c r="A143" s="79">
        <v>119</v>
      </c>
      <c r="B143" s="79">
        <v>5.4408484813753865E-3</v>
      </c>
      <c r="C143" s="79">
        <v>1.6471854709535147E-2</v>
      </c>
      <c r="E143" s="79">
        <v>99.579831932773118</v>
      </c>
      <c r="F143" s="79">
        <v>0.14625936231733661</v>
      </c>
    </row>
    <row r="145" spans="2:3" x14ac:dyDescent="0.3">
      <c r="B145" t="s">
        <v>116</v>
      </c>
      <c r="C145" t="s">
        <v>113</v>
      </c>
    </row>
    <row r="146" spans="2:3" x14ac:dyDescent="0.3">
      <c r="B146">
        <f>AVERAGE(C25:C143)</f>
        <v>-7.8718544288023177E-18</v>
      </c>
      <c r="C146">
        <f>COVAR(C25:C143,C25:C143)</f>
        <v>2.6319364655449729E-3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5457-2260-4338-A4D4-FC30EE61FBCA}">
  <dimension ref="A1:I146"/>
  <sheetViews>
    <sheetView workbookViewId="0">
      <selection activeCell="C145" sqref="C145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0.3562990974762954</v>
      </c>
    </row>
    <row r="5" spans="1:9" x14ac:dyDescent="0.3">
      <c r="A5" t="s">
        <v>82</v>
      </c>
      <c r="B5">
        <v>0.12694904686242264</v>
      </c>
    </row>
    <row r="6" spans="1:9" x14ac:dyDescent="0.3">
      <c r="A6" t="s">
        <v>83</v>
      </c>
      <c r="B6">
        <v>0.11948707290398181</v>
      </c>
    </row>
    <row r="7" spans="1:9" x14ac:dyDescent="0.3">
      <c r="A7" t="s">
        <v>84</v>
      </c>
      <c r="B7">
        <v>5.8326790228676845E-2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5.787778077340977E-2</v>
      </c>
      <c r="D12">
        <v>5.787778077340977E-2</v>
      </c>
      <c r="E12">
        <v>17.012796824199643</v>
      </c>
      <c r="F12">
        <v>6.9768672812468892E-5</v>
      </c>
    </row>
    <row r="13" spans="1:9" x14ac:dyDescent="0.3">
      <c r="A13" t="s">
        <v>88</v>
      </c>
      <c r="B13">
        <v>117</v>
      </c>
      <c r="C13">
        <v>0.39803569163046848</v>
      </c>
      <c r="D13">
        <v>3.4020144583800727E-3</v>
      </c>
    </row>
    <row r="14" spans="1:9" ht="15" thickBot="1" x14ac:dyDescent="0.35">
      <c r="A14" s="79" t="s">
        <v>89</v>
      </c>
      <c r="B14" s="79">
        <v>118</v>
      </c>
      <c r="C14" s="79">
        <v>0.45591347240387825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2.9815583843802009E-3</v>
      </c>
      <c r="C17">
        <v>5.5318399059642778E-3</v>
      </c>
      <c r="D17">
        <v>0.53898132177787117</v>
      </c>
      <c r="E17">
        <v>0.59092384869063608</v>
      </c>
      <c r="F17">
        <v>-7.9739606736877779E-3</v>
      </c>
      <c r="G17">
        <v>1.3937077442448181E-2</v>
      </c>
      <c r="H17">
        <v>-7.9739606736877779E-3</v>
      </c>
      <c r="I17">
        <v>1.3937077442448181E-2</v>
      </c>
    </row>
    <row r="18" spans="1:9" ht="15" thickBot="1" x14ac:dyDescent="0.35">
      <c r="A18" s="79" t="s">
        <v>103</v>
      </c>
      <c r="B18" s="79">
        <v>0.42439537420400636</v>
      </c>
      <c r="C18" s="79">
        <v>0.10289227832440381</v>
      </c>
      <c r="D18" s="79">
        <v>4.124657176566271</v>
      </c>
      <c r="E18" s="143">
        <v>6.9768672812468364E-5</v>
      </c>
      <c r="F18" s="79">
        <v>0.22062260867337641</v>
      </c>
      <c r="G18" s="79">
        <v>0.62816813973463637</v>
      </c>
      <c r="H18" s="79">
        <v>0.22062260867337641</v>
      </c>
      <c r="I18" s="79">
        <v>0.62816813973463637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-7.2889975131644079E-3</v>
      </c>
      <c r="C25">
        <v>4.4508854632125221E-2</v>
      </c>
      <c r="E25">
        <v>0.42016806722689076</v>
      </c>
      <c r="F25">
        <v>-0.13817331087138676</v>
      </c>
    </row>
    <row r="26" spans="1:9" x14ac:dyDescent="0.3">
      <c r="A26">
        <v>2</v>
      </c>
      <c r="B26">
        <v>2.9322461400608981E-2</v>
      </c>
      <c r="C26">
        <v>1.4233091971428868E-2</v>
      </c>
      <c r="E26">
        <v>1.2605042016806722</v>
      </c>
      <c r="F26">
        <v>-0.13522166799881638</v>
      </c>
    </row>
    <row r="27" spans="1:9" x14ac:dyDescent="0.3">
      <c r="A27">
        <v>3</v>
      </c>
      <c r="B27">
        <v>7.3200535251772723E-4</v>
      </c>
      <c r="C27">
        <v>-2.7757176342553334E-2</v>
      </c>
      <c r="E27">
        <v>2.1008403361344539</v>
      </c>
      <c r="F27">
        <v>-0.10770544095267111</v>
      </c>
    </row>
    <row r="28" spans="1:9" x14ac:dyDescent="0.3">
      <c r="A28">
        <v>4</v>
      </c>
      <c r="B28">
        <v>2.2917208626396689E-2</v>
      </c>
      <c r="C28">
        <v>-4.4837790219364876E-3</v>
      </c>
      <c r="E28">
        <v>2.9411764705882351</v>
      </c>
      <c r="F28">
        <v>-0.10648884617117549</v>
      </c>
    </row>
    <row r="29" spans="1:9" x14ac:dyDescent="0.3">
      <c r="A29">
        <v>5</v>
      </c>
      <c r="B29">
        <v>2.401934577642624E-2</v>
      </c>
      <c r="C29">
        <v>4.4201932628320589E-2</v>
      </c>
      <c r="E29">
        <v>3.7815126050420167</v>
      </c>
      <c r="F29">
        <v>-0.10341655433424317</v>
      </c>
    </row>
    <row r="30" spans="1:9" x14ac:dyDescent="0.3">
      <c r="A30">
        <v>6</v>
      </c>
      <c r="B30">
        <v>1.6813843489926733E-2</v>
      </c>
      <c r="C30">
        <v>1.7073386778522257E-2</v>
      </c>
      <c r="E30">
        <v>4.6218487394957988</v>
      </c>
      <c r="F30">
        <v>-0.1023554017458452</v>
      </c>
    </row>
    <row r="31" spans="1:9" x14ac:dyDescent="0.3">
      <c r="A31">
        <v>7</v>
      </c>
      <c r="B31">
        <v>1.5658095695274512E-2</v>
      </c>
      <c r="C31">
        <v>-4.2851944427351706E-2</v>
      </c>
      <c r="E31">
        <v>5.46218487394958</v>
      </c>
      <c r="F31">
        <v>-9.7585378689929336E-2</v>
      </c>
    </row>
    <row r="32" spans="1:9" x14ac:dyDescent="0.3">
      <c r="A32">
        <v>8</v>
      </c>
      <c r="B32">
        <v>-5.2984140340652198E-3</v>
      </c>
      <c r="C32">
        <v>-2.210746926007626E-3</v>
      </c>
      <c r="E32">
        <v>6.302521008403362</v>
      </c>
      <c r="F32">
        <v>-9.3410540453455745E-2</v>
      </c>
    </row>
    <row r="33" spans="1:6" x14ac:dyDescent="0.3">
      <c r="A33">
        <v>9</v>
      </c>
      <c r="B33">
        <v>2.3970468583809683E-2</v>
      </c>
      <c r="C33">
        <v>3.2279704856089643E-2</v>
      </c>
      <c r="E33">
        <v>7.1428571428571432</v>
      </c>
      <c r="F33">
        <v>-8.4706403090547264E-2</v>
      </c>
    </row>
    <row r="34" spans="1:6" x14ac:dyDescent="0.3">
      <c r="A34">
        <v>10</v>
      </c>
      <c r="B34">
        <v>-8.5420379632570528E-3</v>
      </c>
      <c r="C34">
        <v>1.7194647333973578E-2</v>
      </c>
      <c r="E34">
        <v>7.9831932773109244</v>
      </c>
      <c r="F34">
        <v>-7.2861139553983365E-2</v>
      </c>
    </row>
    <row r="35" spans="1:6" x14ac:dyDescent="0.3">
      <c r="A35">
        <v>11</v>
      </c>
      <c r="B35">
        <v>1.3622277824982384E-3</v>
      </c>
      <c r="C35">
        <v>-2.7514179895339861E-2</v>
      </c>
      <c r="E35">
        <v>8.8235294117647065</v>
      </c>
      <c r="F35">
        <v>-6.6420640128499436E-2</v>
      </c>
    </row>
    <row r="36" spans="1:6" x14ac:dyDescent="0.3">
      <c r="A36">
        <v>12</v>
      </c>
      <c r="B36">
        <v>2.1322166178570627E-2</v>
      </c>
      <c r="C36">
        <v>-7.4071600391241693E-2</v>
      </c>
      <c r="E36">
        <v>9.6638655462184886</v>
      </c>
      <c r="F36">
        <v>-6.3773266005390031E-2</v>
      </c>
    </row>
    <row r="37" spans="1:6" x14ac:dyDescent="0.3">
      <c r="A37">
        <v>13</v>
      </c>
      <c r="B37">
        <v>1.5776486863936425E-2</v>
      </c>
      <c r="C37">
        <v>-5.1605065198011054E-3</v>
      </c>
      <c r="E37">
        <v>10.504201680672269</v>
      </c>
      <c r="F37">
        <v>-5.6982626116788657E-2</v>
      </c>
    </row>
    <row r="38" spans="1:6" x14ac:dyDescent="0.3">
      <c r="A38">
        <v>14</v>
      </c>
      <c r="B38">
        <v>7.724406140705937E-3</v>
      </c>
      <c r="C38">
        <v>-4.0743412985245198E-2</v>
      </c>
      <c r="E38">
        <v>11.344537815126051</v>
      </c>
      <c r="F38">
        <v>-5.6654837110964335E-2</v>
      </c>
    </row>
    <row r="39" spans="1:6" x14ac:dyDescent="0.3">
      <c r="A39">
        <v>15</v>
      </c>
      <c r="B39">
        <v>2.3703616152020671E-2</v>
      </c>
      <c r="C39">
        <v>9.3728052350718835E-3</v>
      </c>
      <c r="E39">
        <v>12.184873949579833</v>
      </c>
      <c r="F39">
        <v>-5.5452250281350188E-2</v>
      </c>
    </row>
    <row r="40" spans="1:6" x14ac:dyDescent="0.3">
      <c r="A40">
        <v>16</v>
      </c>
      <c r="B40">
        <v>-4.6034485072786197E-4</v>
      </c>
      <c r="C40">
        <v>6.5847947623832795E-3</v>
      </c>
      <c r="E40">
        <v>13.025210084033613</v>
      </c>
      <c r="F40">
        <v>-5.2749434212671059E-2</v>
      </c>
    </row>
    <row r="41" spans="1:6" x14ac:dyDescent="0.3">
      <c r="A41">
        <v>17</v>
      </c>
      <c r="B41">
        <v>1.4379957105417136E-2</v>
      </c>
      <c r="C41">
        <v>-1.5288080778559504E-3</v>
      </c>
      <c r="E41">
        <v>13.865546218487395</v>
      </c>
      <c r="F41">
        <v>-5.2153744107474684E-2</v>
      </c>
    </row>
    <row r="42" spans="1:6" x14ac:dyDescent="0.3">
      <c r="A42">
        <v>18</v>
      </c>
      <c r="B42">
        <v>2.1309866747160983E-2</v>
      </c>
      <c r="C42">
        <v>1.8756588645284303E-2</v>
      </c>
      <c r="E42">
        <v>14.705882352941178</v>
      </c>
      <c r="F42">
        <v>-4.9515287587502316E-2</v>
      </c>
    </row>
    <row r="43" spans="1:6" x14ac:dyDescent="0.3">
      <c r="A43">
        <v>19</v>
      </c>
      <c r="B43">
        <v>-6.9498771725618703E-3</v>
      </c>
      <c r="C43">
        <v>1.5610682683704732E-2</v>
      </c>
      <c r="E43">
        <v>15.546218487394958</v>
      </c>
      <c r="F43">
        <v>-4.8521682075884399E-2</v>
      </c>
    </row>
    <row r="44" spans="1:6" x14ac:dyDescent="0.3">
      <c r="A44">
        <v>20</v>
      </c>
      <c r="B44">
        <v>-5.8193163400050403E-3</v>
      </c>
      <c r="C44">
        <v>9.0298430763218474E-3</v>
      </c>
      <c r="E44">
        <v>16.386554621848738</v>
      </c>
      <c r="F44">
        <v>-4.3795422298171134E-2</v>
      </c>
    </row>
    <row r="45" spans="1:6" x14ac:dyDescent="0.3">
      <c r="A45">
        <v>21</v>
      </c>
      <c r="B45">
        <v>3.2878456993998682E-2</v>
      </c>
      <c r="C45">
        <v>6.5361431580170576E-2</v>
      </c>
      <c r="E45">
        <v>17.22689075630252</v>
      </c>
      <c r="F45">
        <v>-3.7440832798032682E-2</v>
      </c>
    </row>
    <row r="46" spans="1:6" x14ac:dyDescent="0.3">
      <c r="A46">
        <v>22</v>
      </c>
      <c r="B46">
        <v>-7.2425316439964889E-3</v>
      </c>
      <c r="C46">
        <v>2.9879791828753728E-2</v>
      </c>
      <c r="E46">
        <v>18.067226890756302</v>
      </c>
      <c r="F46">
        <v>-3.6620243500308375E-2</v>
      </c>
    </row>
    <row r="47" spans="1:6" x14ac:dyDescent="0.3">
      <c r="A47">
        <v>23</v>
      </c>
      <c r="B47">
        <v>1.087075139326275E-2</v>
      </c>
      <c r="C47">
        <v>-3.5590599410269985E-2</v>
      </c>
      <c r="E47">
        <v>18.907563025210084</v>
      </c>
      <c r="F47">
        <v>-3.3242557880464228E-2</v>
      </c>
    </row>
    <row r="48" spans="1:6" x14ac:dyDescent="0.3">
      <c r="A48">
        <v>24</v>
      </c>
      <c r="B48">
        <v>1.2018918111440652E-2</v>
      </c>
      <c r="C48">
        <v>1.2148470622416502E-2</v>
      </c>
      <c r="E48">
        <v>19.747899159663863</v>
      </c>
      <c r="F48">
        <v>-3.3019006844539261E-2</v>
      </c>
    </row>
    <row r="49" spans="1:6" x14ac:dyDescent="0.3">
      <c r="A49">
        <v>25</v>
      </c>
      <c r="B49">
        <v>-7.513853267263392E-3</v>
      </c>
      <c r="C49">
        <v>-1.9610155449963938E-2</v>
      </c>
      <c r="E49">
        <v>20.588235294117645</v>
      </c>
      <c r="F49">
        <v>-3.250061732522079E-2</v>
      </c>
    </row>
    <row r="50" spans="1:6" x14ac:dyDescent="0.3">
      <c r="A50">
        <v>26</v>
      </c>
      <c r="B50">
        <v>2.1528793395513113E-2</v>
      </c>
      <c r="C50">
        <v>5.3925682419229834E-2</v>
      </c>
      <c r="E50">
        <v>21.428571428571427</v>
      </c>
      <c r="F50">
        <v>-3.1047090758203336E-2</v>
      </c>
    </row>
    <row r="51" spans="1:6" x14ac:dyDescent="0.3">
      <c r="A51">
        <v>27</v>
      </c>
      <c r="B51">
        <v>-2.6088575163988298E-2</v>
      </c>
      <c r="C51">
        <v>-8.0400271007187191E-2</v>
      </c>
      <c r="E51">
        <v>22.268907563025209</v>
      </c>
      <c r="F51">
        <v>-2.9272667114527195E-2</v>
      </c>
    </row>
    <row r="52" spans="1:6" x14ac:dyDescent="0.3">
      <c r="A52">
        <v>28</v>
      </c>
      <c r="B52">
        <v>-6.3034386761125294E-3</v>
      </c>
      <c r="C52">
        <v>-1.1218321022108669E-2</v>
      </c>
      <c r="E52">
        <v>23.109243697478991</v>
      </c>
      <c r="F52">
        <v>-2.8843613109953318E-2</v>
      </c>
    </row>
    <row r="53" spans="1:6" x14ac:dyDescent="0.3">
      <c r="A53">
        <v>29</v>
      </c>
      <c r="B53">
        <v>5.0462204309949805E-2</v>
      </c>
      <c r="C53">
        <v>2.6265363182934869E-2</v>
      </c>
      <c r="E53">
        <v>23.949579831932773</v>
      </c>
      <c r="F53">
        <v>-2.7491428913484627E-2</v>
      </c>
    </row>
    <row r="54" spans="1:6" x14ac:dyDescent="0.3">
      <c r="A54">
        <v>30</v>
      </c>
      <c r="B54">
        <v>4.4129695016961708E-3</v>
      </c>
      <c r="C54">
        <v>-3.5460060259899506E-2</v>
      </c>
      <c r="E54">
        <v>24.789915966386552</v>
      </c>
      <c r="F54">
        <v>-2.7193848732077194E-2</v>
      </c>
    </row>
    <row r="55" spans="1:6" x14ac:dyDescent="0.3">
      <c r="A55">
        <v>31</v>
      </c>
      <c r="B55">
        <v>-3.5001128262248634E-3</v>
      </c>
      <c r="C55">
        <v>-3.5015403395316762E-3</v>
      </c>
      <c r="E55">
        <v>25.630252100840334</v>
      </c>
      <c r="F55">
        <v>-2.7124008717227331E-2</v>
      </c>
    </row>
    <row r="56" spans="1:6" x14ac:dyDescent="0.3">
      <c r="A56">
        <v>32</v>
      </c>
      <c r="B56">
        <v>-2.6039733211323784E-2</v>
      </c>
      <c r="C56">
        <v>-2.9412517070026404E-2</v>
      </c>
      <c r="E56">
        <v>26.470588235294116</v>
      </c>
      <c r="F56">
        <v>-2.7025170990035607E-2</v>
      </c>
    </row>
    <row r="57" spans="1:6" x14ac:dyDescent="0.3">
      <c r="A57">
        <v>33</v>
      </c>
      <c r="B57">
        <v>-4.759189658652227E-3</v>
      </c>
      <c r="C57">
        <v>-2.2134929484873878E-2</v>
      </c>
      <c r="E57">
        <v>27.310924369747898</v>
      </c>
      <c r="F57">
        <v>-2.6894119143526105E-2</v>
      </c>
    </row>
    <row r="58" spans="1:6" x14ac:dyDescent="0.3">
      <c r="A58">
        <v>34</v>
      </c>
      <c r="B58">
        <v>3.1523633411895902E-2</v>
      </c>
      <c r="C58">
        <v>-2.2491529288388323E-2</v>
      </c>
      <c r="E58">
        <v>28.15126050420168</v>
      </c>
      <c r="F58">
        <v>-2.6151952112841624E-2</v>
      </c>
    </row>
    <row r="59" spans="1:6" x14ac:dyDescent="0.3">
      <c r="A59">
        <v>35</v>
      </c>
      <c r="B59">
        <v>-1.0493386712341506E-2</v>
      </c>
      <c r="C59">
        <v>0.11406990784010307</v>
      </c>
      <c r="E59">
        <v>28.991596638655462</v>
      </c>
      <c r="F59">
        <v>-2.4721541348937101E-2</v>
      </c>
    </row>
    <row r="60" spans="1:6" x14ac:dyDescent="0.3">
      <c r="A60">
        <v>36</v>
      </c>
      <c r="B60">
        <v>2.0831164667255604E-2</v>
      </c>
      <c r="C60">
        <v>4.0006432644299081E-2</v>
      </c>
      <c r="E60">
        <v>29.831932773109244</v>
      </c>
      <c r="F60">
        <v>-2.4719848017007235E-2</v>
      </c>
    </row>
    <row r="61" spans="1:6" x14ac:dyDescent="0.3">
      <c r="A61">
        <v>37</v>
      </c>
      <c r="B61">
        <v>-6.9803369771365619E-3</v>
      </c>
      <c r="C61">
        <v>3.0764610177449223E-2</v>
      </c>
      <c r="E61">
        <v>30.672268907563023</v>
      </c>
      <c r="F61">
        <v>-2.3339261810325515E-2</v>
      </c>
    </row>
    <row r="62" spans="1:6" x14ac:dyDescent="0.3">
      <c r="A62">
        <v>38</v>
      </c>
      <c r="B62">
        <v>3.3005369236255508E-2</v>
      </c>
      <c r="C62">
        <v>1.4708177423932767E-2</v>
      </c>
      <c r="E62">
        <v>31.512605042016805</v>
      </c>
      <c r="F62">
        <v>-2.30910598451875E-2</v>
      </c>
    </row>
    <row r="63" spans="1:6" x14ac:dyDescent="0.3">
      <c r="A63">
        <v>39</v>
      </c>
      <c r="B63">
        <v>6.6439056653927516E-3</v>
      </c>
      <c r="C63">
        <v>-6.3298742776357081E-2</v>
      </c>
      <c r="E63">
        <v>32.352941176470587</v>
      </c>
      <c r="F63">
        <v>-2.291819642953874E-2</v>
      </c>
    </row>
    <row r="64" spans="1:6" x14ac:dyDescent="0.3">
      <c r="A64">
        <v>40</v>
      </c>
      <c r="B64">
        <v>1.2290440756159426E-2</v>
      </c>
      <c r="C64">
        <v>-3.0924075855825208E-2</v>
      </c>
      <c r="E64">
        <v>33.193277310924366</v>
      </c>
      <c r="F64">
        <v>-2.0300006282293594E-2</v>
      </c>
    </row>
    <row r="65" spans="1:6" x14ac:dyDescent="0.3">
      <c r="A65">
        <v>41</v>
      </c>
      <c r="B65">
        <v>-3.4970643175627515E-3</v>
      </c>
      <c r="C65">
        <v>-6.0276201687827283E-2</v>
      </c>
      <c r="E65">
        <v>34.033613445378151</v>
      </c>
      <c r="F65">
        <v>-1.9708215890272225E-2</v>
      </c>
    </row>
    <row r="66" spans="1:6" x14ac:dyDescent="0.3">
      <c r="A66">
        <v>42</v>
      </c>
      <c r="B66">
        <v>3.824824521144118E-3</v>
      </c>
      <c r="C66">
        <v>9.7354632407395756E-3</v>
      </c>
      <c r="E66">
        <v>34.87394957983193</v>
      </c>
      <c r="F66">
        <v>-1.8633635099665782E-2</v>
      </c>
    </row>
    <row r="67" spans="1:6" x14ac:dyDescent="0.3">
      <c r="A67">
        <v>43</v>
      </c>
      <c r="B67">
        <v>7.6403048432466371E-3</v>
      </c>
      <c r="C67">
        <v>1.3017384099264048E-2</v>
      </c>
      <c r="E67">
        <v>35.714285714285715</v>
      </c>
      <c r="F67">
        <v>-1.8574227223773773E-2</v>
      </c>
    </row>
    <row r="68" spans="1:6" x14ac:dyDescent="0.3">
      <c r="A68">
        <v>44</v>
      </c>
      <c r="B68">
        <v>2.5071204620908609E-2</v>
      </c>
      <c r="C68">
        <v>-4.8162264466096109E-2</v>
      </c>
      <c r="E68">
        <v>36.554621848739494</v>
      </c>
      <c r="F68">
        <v>-1.7927106999064576E-2</v>
      </c>
    </row>
    <row r="69" spans="1:6" x14ac:dyDescent="0.3">
      <c r="A69">
        <v>45</v>
      </c>
      <c r="B69">
        <v>2.0693006115021631E-2</v>
      </c>
      <c r="C69">
        <v>5.4630155516866244E-2</v>
      </c>
      <c r="E69">
        <v>37.394957983193279</v>
      </c>
      <c r="F69">
        <v>-1.7521759698221197E-2</v>
      </c>
    </row>
    <row r="70" spans="1:6" x14ac:dyDescent="0.3">
      <c r="A70">
        <v>46</v>
      </c>
      <c r="B70">
        <v>1.141482474429005E-2</v>
      </c>
      <c r="C70">
        <v>1.4374895980844935E-3</v>
      </c>
      <c r="E70">
        <v>38.235294117647058</v>
      </c>
      <c r="F70">
        <v>-1.3528161517216928E-2</v>
      </c>
    </row>
    <row r="71" spans="1:6" x14ac:dyDescent="0.3">
      <c r="A71">
        <v>47</v>
      </c>
      <c r="B71">
        <v>1.4480953386640971E-2</v>
      </c>
      <c r="C71">
        <v>-2.2958128942091385E-2</v>
      </c>
      <c r="E71">
        <v>39.075630252100837</v>
      </c>
      <c r="F71">
        <v>-1.2801182318117024E-2</v>
      </c>
    </row>
    <row r="72" spans="1:6" x14ac:dyDescent="0.3">
      <c r="A72">
        <v>48</v>
      </c>
      <c r="B72">
        <v>1.8583811852212983E-2</v>
      </c>
      <c r="C72">
        <v>-5.6024644650245661E-2</v>
      </c>
      <c r="E72">
        <v>39.915966386554622</v>
      </c>
      <c r="F72">
        <v>-8.4771755554504131E-3</v>
      </c>
    </row>
    <row r="73" spans="1:6" x14ac:dyDescent="0.3">
      <c r="A73">
        <v>49</v>
      </c>
      <c r="B73">
        <v>-7.4201082937103606E-3</v>
      </c>
      <c r="C73">
        <v>4.6167956946629153E-2</v>
      </c>
      <c r="E73">
        <v>40.756302521008401</v>
      </c>
      <c r="F73">
        <v>-8.3330713793494365E-3</v>
      </c>
    </row>
    <row r="74" spans="1:6" x14ac:dyDescent="0.3">
      <c r="A74">
        <v>50</v>
      </c>
      <c r="B74">
        <v>2.0523544434635988E-2</v>
      </c>
      <c r="C74">
        <v>-3.3324726752753012E-2</v>
      </c>
      <c r="E74">
        <v>41.596638655462186</v>
      </c>
      <c r="F74">
        <v>-7.5091609600728458E-3</v>
      </c>
    </row>
    <row r="75" spans="1:6" x14ac:dyDescent="0.3">
      <c r="A75">
        <v>51</v>
      </c>
      <c r="B75">
        <v>1.0795625799555539E-2</v>
      </c>
      <c r="C75">
        <v>1.2123511415753449E-2</v>
      </c>
      <c r="E75">
        <v>42.436974789915965</v>
      </c>
      <c r="F75">
        <v>-7.0016531657565396E-3</v>
      </c>
    </row>
    <row r="76" spans="1:6" x14ac:dyDescent="0.3">
      <c r="A76">
        <v>52</v>
      </c>
      <c r="B76">
        <v>2.3224725774551279E-3</v>
      </c>
      <c r="C76">
        <v>6.0434566560127218E-2</v>
      </c>
      <c r="E76">
        <v>43.27731092436975</v>
      </c>
      <c r="F76">
        <v>-4.4317692367015042E-3</v>
      </c>
    </row>
    <row r="77" spans="1:6" x14ac:dyDescent="0.3">
      <c r="A77">
        <v>53</v>
      </c>
      <c r="B77">
        <v>2.2092961053809618E-2</v>
      </c>
      <c r="C77">
        <v>-4.0020068052874197E-2</v>
      </c>
      <c r="E77">
        <v>44.117647058823529</v>
      </c>
      <c r="F77">
        <v>-3.4396249441523744E-3</v>
      </c>
    </row>
    <row r="78" spans="1:6" x14ac:dyDescent="0.3">
      <c r="A78">
        <v>54</v>
      </c>
      <c r="B78">
        <v>1.0928070590876502E-2</v>
      </c>
      <c r="C78">
        <v>2.3298840012676066E-2</v>
      </c>
      <c r="E78">
        <v>44.957983193277308</v>
      </c>
      <c r="F78">
        <v>2.0698706893374393E-3</v>
      </c>
    </row>
    <row r="79" spans="1:6" x14ac:dyDescent="0.3">
      <c r="A79">
        <v>55</v>
      </c>
      <c r="B79">
        <v>5.0390023460081135E-3</v>
      </c>
      <c r="C79">
        <v>2.9855714575897294E-3</v>
      </c>
      <c r="E79">
        <v>45.798319327731093</v>
      </c>
      <c r="F79">
        <v>3.2105267363168066E-3</v>
      </c>
    </row>
    <row r="80" spans="1:6" x14ac:dyDescent="0.3">
      <c r="A80">
        <v>56</v>
      </c>
      <c r="B80">
        <v>3.9710335196145717E-2</v>
      </c>
      <c r="C80">
        <v>-1.7070993748541971E-2</v>
      </c>
      <c r="E80">
        <v>46.638655462184872</v>
      </c>
      <c r="F80">
        <v>3.909328459417342E-3</v>
      </c>
    </row>
    <row r="81" spans="1:6" x14ac:dyDescent="0.3">
      <c r="A81">
        <v>57</v>
      </c>
      <c r="B81">
        <v>-2.8543632440578221E-3</v>
      </c>
      <c r="C81">
        <v>-1.6853852646214404E-2</v>
      </c>
      <c r="E81">
        <v>47.478991596638657</v>
      </c>
      <c r="F81">
        <v>5.6691890559526746E-3</v>
      </c>
    </row>
    <row r="82" spans="1:6" x14ac:dyDescent="0.3">
      <c r="A82">
        <v>58</v>
      </c>
      <c r="B82">
        <v>-1.3939352456721385E-2</v>
      </c>
      <c r="C82">
        <v>4.1119093950445738E-4</v>
      </c>
      <c r="E82">
        <v>48.319327731092436</v>
      </c>
      <c r="F82">
        <v>6.1244499116554175E-3</v>
      </c>
    </row>
    <row r="83" spans="1:6" x14ac:dyDescent="0.3">
      <c r="A83">
        <v>59</v>
      </c>
      <c r="B83">
        <v>4.5576096233949041E-3</v>
      </c>
      <c r="C83">
        <v>2.7000356290508148E-2</v>
      </c>
      <c r="E83">
        <v>49.159663865546214</v>
      </c>
      <c r="F83">
        <v>8.0245738035978429E-3</v>
      </c>
    </row>
    <row r="84" spans="1:6" x14ac:dyDescent="0.3">
      <c r="A84">
        <v>60</v>
      </c>
      <c r="B84">
        <v>2.6249663789755944E-2</v>
      </c>
      <c r="C84">
        <v>-4.4823891013529717E-2</v>
      </c>
      <c r="E84">
        <v>50</v>
      </c>
      <c r="F84">
        <v>8.6526093707165255E-3</v>
      </c>
    </row>
    <row r="85" spans="1:6" x14ac:dyDescent="0.3">
      <c r="A85">
        <v>61</v>
      </c>
      <c r="B85">
        <v>7.4321464256659597E-3</v>
      </c>
      <c r="C85">
        <v>1.2165792390449534E-2</v>
      </c>
      <c r="E85">
        <v>50.840336134453779</v>
      </c>
      <c r="F85">
        <v>8.6608055111428613E-3</v>
      </c>
    </row>
    <row r="86" spans="1:6" x14ac:dyDescent="0.3">
      <c r="A86">
        <v>62</v>
      </c>
      <c r="B86">
        <v>1.4505246623874524E-2</v>
      </c>
      <c r="C86">
        <v>8.6101352741021667E-2</v>
      </c>
      <c r="E86">
        <v>51.680672268907564</v>
      </c>
      <c r="F86">
        <v>9.0321041235075766E-3</v>
      </c>
    </row>
    <row r="87" spans="1:6" x14ac:dyDescent="0.3">
      <c r="A87">
        <v>63</v>
      </c>
      <c r="B87">
        <v>2.7779287291837224E-2</v>
      </c>
      <c r="C87">
        <v>1.204034636678061E-2</v>
      </c>
      <c r="E87">
        <v>52.521008403361343</v>
      </c>
      <c r="F87">
        <v>9.5588237636966607E-3</v>
      </c>
    </row>
    <row r="88" spans="1:6" x14ac:dyDescent="0.3">
      <c r="A88">
        <v>64</v>
      </c>
      <c r="B88">
        <v>1.4901324102126092E-3</v>
      </c>
      <c r="C88">
        <v>6.8964001033475678E-2</v>
      </c>
      <c r="E88">
        <v>53.361344537815128</v>
      </c>
      <c r="F88">
        <v>1.061598034413532E-2</v>
      </c>
    </row>
    <row r="89" spans="1:6" x14ac:dyDescent="0.3">
      <c r="A89">
        <v>65</v>
      </c>
      <c r="B89">
        <v>-3.3770820769185604E-2</v>
      </c>
      <c r="C89">
        <v>1.0852624339646864E-2</v>
      </c>
      <c r="E89">
        <v>54.201680672268907</v>
      </c>
      <c r="F89">
        <v>1.2851149027561185E-2</v>
      </c>
    </row>
    <row r="90" spans="1:6" x14ac:dyDescent="0.3">
      <c r="A90">
        <v>66</v>
      </c>
      <c r="B90">
        <v>1.8796001649456003E-3</v>
      </c>
      <c r="C90">
        <v>7.1738483941836725E-2</v>
      </c>
      <c r="E90">
        <v>55.042016806722685</v>
      </c>
      <c r="F90">
        <v>1.2852314342374544E-2</v>
      </c>
    </row>
    <row r="91" spans="1:6" x14ac:dyDescent="0.3">
      <c r="A91">
        <v>67</v>
      </c>
      <c r="B91">
        <v>-3.4824910557301969E-2</v>
      </c>
      <c r="C91">
        <v>-1.369677151858243E-2</v>
      </c>
      <c r="E91">
        <v>55.882352941176471</v>
      </c>
      <c r="F91">
        <v>1.3560287761883694E-2</v>
      </c>
    </row>
    <row r="92" spans="1:6" x14ac:dyDescent="0.3">
      <c r="A92">
        <v>68</v>
      </c>
      <c r="B92">
        <v>4.165801241985647E-2</v>
      </c>
      <c r="C92">
        <v>-6.9149441333341097E-2</v>
      </c>
      <c r="E92">
        <v>56.72268907563025</v>
      </c>
      <c r="F92">
        <v>1.6972727021010461E-2</v>
      </c>
    </row>
    <row r="93" spans="1:6" x14ac:dyDescent="0.3">
      <c r="A93">
        <v>69</v>
      </c>
      <c r="B93">
        <v>1.4698628809567099E-2</v>
      </c>
      <c r="C93">
        <v>1.5421464841117425E-2</v>
      </c>
      <c r="E93">
        <v>57.563025210084035</v>
      </c>
      <c r="F93">
        <v>1.8433429604460202E-2</v>
      </c>
    </row>
    <row r="94" spans="1:6" x14ac:dyDescent="0.3">
      <c r="A94">
        <v>70</v>
      </c>
      <c r="B94">
        <v>1.9798261996712797E-2</v>
      </c>
      <c r="C94">
        <v>-4.0098268279006394E-2</v>
      </c>
      <c r="E94">
        <v>58.403361344537814</v>
      </c>
      <c r="F94">
        <v>1.9597938816115493E-2</v>
      </c>
    </row>
    <row r="95" spans="1:6" x14ac:dyDescent="0.3">
      <c r="A95">
        <v>71</v>
      </c>
      <c r="B95">
        <v>2.6142565941962844E-2</v>
      </c>
      <c r="C95">
        <v>-6.9937988240133975E-2</v>
      </c>
      <c r="E95">
        <v>59.243697478991599</v>
      </c>
      <c r="F95">
        <v>2.0144618038695657E-2</v>
      </c>
    </row>
    <row r="96" spans="1:6" x14ac:dyDescent="0.3">
      <c r="A96">
        <v>72</v>
      </c>
      <c r="B96">
        <v>-3.2659873741767591E-2</v>
      </c>
      <c r="C96">
        <v>5.5068001446656828E-2</v>
      </c>
      <c r="E96">
        <v>60.084033613445378</v>
      </c>
      <c r="F96">
        <v>2.0657688942510685E-2</v>
      </c>
    </row>
    <row r="97" spans="1:6" x14ac:dyDescent="0.3">
      <c r="A97">
        <v>73</v>
      </c>
      <c r="B97">
        <v>3.5318673990119606E-2</v>
      </c>
      <c r="C97">
        <v>1.7287888091143955E-2</v>
      </c>
      <c r="E97">
        <v>60.924369747899156</v>
      </c>
      <c r="F97">
        <v>2.1065409278607505E-2</v>
      </c>
    </row>
    <row r="98" spans="1:6" x14ac:dyDescent="0.3">
      <c r="A98">
        <v>74</v>
      </c>
      <c r="B98">
        <v>1.2812629482763186E-2</v>
      </c>
      <c r="C98">
        <v>-0.11622918381700635</v>
      </c>
      <c r="E98">
        <v>61.764705882352942</v>
      </c>
      <c r="F98">
        <v>2.2408127704889237E-2</v>
      </c>
    </row>
    <row r="99" spans="1:6" x14ac:dyDescent="0.3">
      <c r="A99">
        <v>75</v>
      </c>
      <c r="B99">
        <v>-5.5498328294328733E-3</v>
      </c>
      <c r="C99">
        <v>-7.915657026111439E-2</v>
      </c>
      <c r="E99">
        <v>62.605042016806721</v>
      </c>
      <c r="F99">
        <v>2.263726018475724E-2</v>
      </c>
    </row>
    <row r="100" spans="1:6" x14ac:dyDescent="0.3">
      <c r="A100">
        <v>76</v>
      </c>
      <c r="B100">
        <v>6.2068856993356221E-3</v>
      </c>
      <c r="C100">
        <v>1.3937732339360034E-2</v>
      </c>
      <c r="E100">
        <v>63.445378151260506</v>
      </c>
      <c r="F100">
        <v>2.2639341447603746E-2</v>
      </c>
    </row>
    <row r="101" spans="1:6" x14ac:dyDescent="0.3">
      <c r="A101">
        <v>77</v>
      </c>
      <c r="B101">
        <v>2.1293731764581769E-2</v>
      </c>
      <c r="C101">
        <v>4.6615997413338994E-2</v>
      </c>
      <c r="E101">
        <v>64.285714285714292</v>
      </c>
      <c r="F101">
        <v>2.2919137215308989E-2</v>
      </c>
    </row>
    <row r="102" spans="1:6" x14ac:dyDescent="0.3">
      <c r="A102">
        <v>78</v>
      </c>
      <c r="B102">
        <v>1.9773437186283375E-2</v>
      </c>
      <c r="C102">
        <v>-1.5864108726866034E-2</v>
      </c>
      <c r="E102">
        <v>65.12605042016807</v>
      </c>
      <c r="F102">
        <v>2.378427320031266E-2</v>
      </c>
    </row>
    <row r="103" spans="1:6" x14ac:dyDescent="0.3">
      <c r="A103">
        <v>79</v>
      </c>
      <c r="B103">
        <v>1.9616159267108007E-2</v>
      </c>
      <c r="C103">
        <v>7.348047438685789E-3</v>
      </c>
      <c r="E103">
        <v>65.966386554621849</v>
      </c>
      <c r="F103">
        <v>2.4167388733857154E-2</v>
      </c>
    </row>
    <row r="104" spans="1:6" x14ac:dyDescent="0.3">
      <c r="A104">
        <v>80</v>
      </c>
      <c r="B104">
        <v>1.5540773463840162E-2</v>
      </c>
      <c r="C104">
        <v>-6.5056061051342484E-2</v>
      </c>
      <c r="E104">
        <v>66.806722689075642</v>
      </c>
      <c r="F104">
        <v>2.6964206705793796E-2</v>
      </c>
    </row>
    <row r="105" spans="1:6" x14ac:dyDescent="0.3">
      <c r="A105">
        <v>81</v>
      </c>
      <c r="B105">
        <v>-2.2019093925095514E-2</v>
      </c>
      <c r="C105">
        <v>-7.1391446528360228E-2</v>
      </c>
      <c r="E105">
        <v>67.64705882352942</v>
      </c>
      <c r="F105">
        <v>3.0120093650684524E-2</v>
      </c>
    </row>
    <row r="106" spans="1:6" x14ac:dyDescent="0.3">
      <c r="A106">
        <v>82</v>
      </c>
      <c r="B106">
        <v>-2.9534845694198914E-2</v>
      </c>
      <c r="C106">
        <v>6.1955838838733991E-3</v>
      </c>
      <c r="E106">
        <v>68.487394957983199</v>
      </c>
      <c r="F106">
        <v>3.0903006632726548E-2</v>
      </c>
    </row>
    <row r="107" spans="1:6" x14ac:dyDescent="0.3">
      <c r="A107">
        <v>83</v>
      </c>
      <c r="B107">
        <v>6.7454771902698496E-2</v>
      </c>
      <c r="C107">
        <v>0.10779025612083157</v>
      </c>
      <c r="E107">
        <v>69.327731092436977</v>
      </c>
      <c r="F107">
        <v>3.1557965913903051E-2</v>
      </c>
    </row>
    <row r="108" spans="1:6" x14ac:dyDescent="0.3">
      <c r="A108">
        <v>84</v>
      </c>
      <c r="B108">
        <v>2.9152091152308574E-2</v>
      </c>
      <c r="C108">
        <v>-3.3583860389010081E-2</v>
      </c>
      <c r="E108">
        <v>70.16806722689077</v>
      </c>
      <c r="F108">
        <v>3.3076421387092554E-2</v>
      </c>
    </row>
    <row r="109" spans="1:6" x14ac:dyDescent="0.3">
      <c r="A109">
        <v>85</v>
      </c>
      <c r="B109">
        <v>2.968830697152108E-2</v>
      </c>
      <c r="C109">
        <v>-0.16490997497033746</v>
      </c>
      <c r="E109">
        <v>71.008403361344548</v>
      </c>
      <c r="F109">
        <v>3.388723026844899E-2</v>
      </c>
    </row>
    <row r="110" spans="1:6" x14ac:dyDescent="0.3">
      <c r="A110">
        <v>86</v>
      </c>
      <c r="B110">
        <v>3.4279155145356267E-2</v>
      </c>
      <c r="C110">
        <v>0.14247939916196678</v>
      </c>
      <c r="E110">
        <v>71.848739495798327</v>
      </c>
      <c r="F110">
        <v>3.4226910603552568E-2</v>
      </c>
    </row>
    <row r="111" spans="1:6" x14ac:dyDescent="0.3">
      <c r="A111">
        <v>87</v>
      </c>
      <c r="B111">
        <v>4.9866373974259338E-2</v>
      </c>
      <c r="C111">
        <v>-5.8199445353608777E-2</v>
      </c>
      <c r="E111">
        <v>72.689075630252105</v>
      </c>
      <c r="F111">
        <v>3.7219857118960815E-2</v>
      </c>
    </row>
    <row r="112" spans="1:6" x14ac:dyDescent="0.3">
      <c r="A112">
        <v>88</v>
      </c>
      <c r="B112">
        <v>-2.1290653172564532E-2</v>
      </c>
      <c r="C112">
        <v>-7.5529599373887861E-3</v>
      </c>
      <c r="E112">
        <v>73.529411764705884</v>
      </c>
      <c r="F112">
        <v>3.874784865291879E-2</v>
      </c>
    </row>
    <row r="113" spans="1:6" x14ac:dyDescent="0.3">
      <c r="A113">
        <v>89</v>
      </c>
      <c r="B113">
        <v>-1.0589112610859309E-2</v>
      </c>
      <c r="C113">
        <v>-2.2653445269604919E-2</v>
      </c>
      <c r="E113">
        <v>74.369747899159677</v>
      </c>
      <c r="F113">
        <v>3.9819633658617834E-2</v>
      </c>
    </row>
    <row r="114" spans="1:6" x14ac:dyDescent="0.3">
      <c r="A114">
        <v>90</v>
      </c>
      <c r="B114">
        <v>4.964760201301318E-2</v>
      </c>
      <c r="C114">
        <v>8.8422842148846437E-2</v>
      </c>
      <c r="E114">
        <v>75.210084033613455</v>
      </c>
      <c r="F114">
        <v>4.0066455392445285E-2</v>
      </c>
    </row>
    <row r="115" spans="1:6" x14ac:dyDescent="0.3">
      <c r="A115">
        <v>91</v>
      </c>
      <c r="B115">
        <v>2.4427700358428676E-2</v>
      </c>
      <c r="C115">
        <v>-5.3700367472955868E-2</v>
      </c>
      <c r="E115">
        <v>76.050420168067234</v>
      </c>
      <c r="F115">
        <v>4.3555553372037849E-2</v>
      </c>
    </row>
    <row r="116" spans="1:6" x14ac:dyDescent="0.3">
      <c r="A116">
        <v>92</v>
      </c>
      <c r="B116">
        <v>4.2032033622409872E-3</v>
      </c>
      <c r="C116">
        <v>-2.8924744711178087E-2</v>
      </c>
      <c r="E116">
        <v>76.890756302521012</v>
      </c>
      <c r="F116">
        <v>4.7713546660188275E-2</v>
      </c>
    </row>
    <row r="117" spans="1:6" x14ac:dyDescent="0.3">
      <c r="A117">
        <v>93</v>
      </c>
      <c r="B117">
        <v>2.4581981286836319E-3</v>
      </c>
      <c r="C117">
        <v>-5.9440824245472292E-2</v>
      </c>
      <c r="E117">
        <v>77.731092436974791</v>
      </c>
      <c r="F117">
        <v>5.2606562081263561E-2</v>
      </c>
    </row>
    <row r="118" spans="1:6" x14ac:dyDescent="0.3">
      <c r="A118">
        <v>94</v>
      </c>
      <c r="B118">
        <v>8.9647734217750599E-3</v>
      </c>
      <c r="C118">
        <v>7.2850659121103639E-2</v>
      </c>
      <c r="E118">
        <v>78.571428571428584</v>
      </c>
      <c r="F118">
        <v>5.6250173439899326E-2</v>
      </c>
    </row>
    <row r="119" spans="1:6" x14ac:dyDescent="0.3">
      <c r="A119">
        <v>95</v>
      </c>
      <c r="B119">
        <v>2.7921179752240458E-2</v>
      </c>
      <c r="C119">
        <v>3.8874267810942442E-2</v>
      </c>
      <c r="E119">
        <v>79.411764705882362</v>
      </c>
      <c r="F119">
        <v>6.0837597311554685E-2</v>
      </c>
    </row>
    <row r="120" spans="1:6" x14ac:dyDescent="0.3">
      <c r="A120">
        <v>96</v>
      </c>
      <c r="B120">
        <v>-2.353711485634233E-3</v>
      </c>
      <c r="C120">
        <v>4.4235821749716723E-3</v>
      </c>
      <c r="E120">
        <v>80.252100840336141</v>
      </c>
      <c r="F120">
        <v>6.2757039137582349E-2</v>
      </c>
    </row>
    <row r="121" spans="1:6" x14ac:dyDescent="0.3">
      <c r="A121">
        <v>97</v>
      </c>
      <c r="B121">
        <v>2.990575471487484E-2</v>
      </c>
      <c r="C121">
        <v>-8.8403454362673342E-3</v>
      </c>
      <c r="E121">
        <v>81.092436974789919</v>
      </c>
      <c r="F121">
        <v>6.375688544204676E-2</v>
      </c>
    </row>
    <row r="122" spans="1:6" x14ac:dyDescent="0.3">
      <c r="A122">
        <v>98</v>
      </c>
      <c r="B122">
        <v>1.4793662782179733E-2</v>
      </c>
      <c r="C122">
        <v>7.8413909857090694E-2</v>
      </c>
      <c r="E122">
        <v>81.932773109243698</v>
      </c>
      <c r="F122">
        <v>6.6795447563182897E-2</v>
      </c>
    </row>
    <row r="123" spans="1:6" x14ac:dyDescent="0.3">
      <c r="A123">
        <v>99</v>
      </c>
      <c r="B123">
        <v>2.0644278842399562E-2</v>
      </c>
      <c r="C123">
        <v>6.5252853274537198E-2</v>
      </c>
      <c r="E123">
        <v>82.77310924369749</v>
      </c>
      <c r="F123">
        <v>6.7909729177920763E-2</v>
      </c>
    </row>
    <row r="124" spans="1:6" x14ac:dyDescent="0.3">
      <c r="A124">
        <v>100</v>
      </c>
      <c r="B124">
        <v>-2.1336619008138234E-2</v>
      </c>
      <c r="C124">
        <v>-4.5084021120361202E-2</v>
      </c>
      <c r="E124">
        <v>83.613445378151269</v>
      </c>
      <c r="F124">
        <v>6.822127840474683E-2</v>
      </c>
    </row>
    <row r="125" spans="1:6" x14ac:dyDescent="0.3">
      <c r="A125">
        <v>101</v>
      </c>
      <c r="B125">
        <v>3.6519471598376825E-2</v>
      </c>
      <c r="C125">
        <v>-1.9546744577366364E-2</v>
      </c>
      <c r="E125">
        <v>84.453781512605048</v>
      </c>
      <c r="F125">
        <v>7.0454133443688283E-2</v>
      </c>
    </row>
    <row r="126" spans="1:6" x14ac:dyDescent="0.3">
      <c r="A126">
        <v>102</v>
      </c>
      <c r="B126">
        <v>1.0624470197729996E-2</v>
      </c>
      <c r="C126">
        <v>0.21777058500381924</v>
      </c>
      <c r="E126">
        <v>85.294117647058826</v>
      </c>
      <c r="F126">
        <v>7.3618084106782319E-2</v>
      </c>
    </row>
    <row r="127" spans="1:6" x14ac:dyDescent="0.3">
      <c r="A127">
        <v>103</v>
      </c>
      <c r="B127">
        <v>7.825206512091093E-3</v>
      </c>
      <c r="C127">
        <v>0.10083538301807769</v>
      </c>
      <c r="E127">
        <v>86.134453781512619</v>
      </c>
      <c r="F127">
        <v>7.5323161631887875E-2</v>
      </c>
    </row>
    <row r="128" spans="1:6" x14ac:dyDescent="0.3">
      <c r="A128">
        <v>104</v>
      </c>
      <c r="B128">
        <v>-3.316547122854227E-2</v>
      </c>
      <c r="C128">
        <v>-7.4539969724128838E-2</v>
      </c>
      <c r="E128">
        <v>86.974789915966397</v>
      </c>
      <c r="F128">
        <v>7.5454475814742947E-2</v>
      </c>
    </row>
    <row r="129" spans="1:6" x14ac:dyDescent="0.3">
      <c r="A129">
        <v>105</v>
      </c>
      <c r="B129">
        <v>-1.6695774069896519E-2</v>
      </c>
      <c r="C129">
        <v>-8.5659627675948688E-2</v>
      </c>
      <c r="E129">
        <v>87.815126050420176</v>
      </c>
      <c r="F129">
        <v>7.6727567492884674E-2</v>
      </c>
    </row>
    <row r="130" spans="1:6" x14ac:dyDescent="0.3">
      <c r="A130">
        <v>106</v>
      </c>
      <c r="B130">
        <v>2.088642597809609E-2</v>
      </c>
      <c r="C130">
        <v>8.2010879503440798E-2</v>
      </c>
      <c r="E130">
        <v>88.655462184873954</v>
      </c>
      <c r="F130">
        <v>7.690657702707672E-2</v>
      </c>
    </row>
    <row r="131" spans="1:6" x14ac:dyDescent="0.3">
      <c r="A131">
        <v>107</v>
      </c>
      <c r="B131">
        <v>-5.375393347794917E-2</v>
      </c>
      <c r="C131">
        <v>1.6001893704744863E-3</v>
      </c>
      <c r="E131">
        <v>89.495798319327733</v>
      </c>
      <c r="F131">
        <v>8.0904924403024353E-2</v>
      </c>
    </row>
    <row r="132" spans="1:6" x14ac:dyDescent="0.3">
      <c r="A132">
        <v>108</v>
      </c>
      <c r="B132">
        <v>-4.0406419333232687E-3</v>
      </c>
      <c r="C132">
        <v>8.4945566336347617E-2</v>
      </c>
      <c r="E132">
        <v>90.336134453781526</v>
      </c>
      <c r="F132">
        <v>8.1815432542878694E-2</v>
      </c>
    </row>
    <row r="133" spans="1:6" x14ac:dyDescent="0.3">
      <c r="A133">
        <v>109</v>
      </c>
      <c r="B133">
        <v>-3.5233862388270872E-2</v>
      </c>
      <c r="C133">
        <v>3.1794237444118495E-2</v>
      </c>
      <c r="E133">
        <v>91.176470588235304</v>
      </c>
      <c r="F133">
        <v>8.5897132116936753E-2</v>
      </c>
    </row>
    <row r="134" spans="1:6" x14ac:dyDescent="0.3">
      <c r="A134">
        <v>110</v>
      </c>
      <c r="B134">
        <v>5.6262847718606714E-2</v>
      </c>
      <c r="C134">
        <v>-9.2883091218915081E-2</v>
      </c>
      <c r="E134">
        <v>92.016806722689083</v>
      </c>
      <c r="F134">
        <v>9.3207572639270431E-2</v>
      </c>
    </row>
    <row r="135" spans="1:6" x14ac:dyDescent="0.3">
      <c r="A135">
        <v>111</v>
      </c>
      <c r="B135">
        <v>-1.9173697116518125E-2</v>
      </c>
      <c r="C135">
        <v>-7.8411681573411218E-2</v>
      </c>
      <c r="E135">
        <v>92.857142857142861</v>
      </c>
      <c r="F135">
        <v>9.8239888574169251E-2</v>
      </c>
    </row>
    <row r="136" spans="1:6" x14ac:dyDescent="0.3">
      <c r="A136">
        <v>112</v>
      </c>
      <c r="B136">
        <v>-4.2003498379436975E-2</v>
      </c>
      <c r="C136">
        <v>9.5028810542161848E-3</v>
      </c>
      <c r="E136">
        <v>93.69747899159664</v>
      </c>
      <c r="F136">
        <v>0.10060659936489619</v>
      </c>
    </row>
    <row r="137" spans="1:6" x14ac:dyDescent="0.3">
      <c r="A137">
        <v>113</v>
      </c>
      <c r="B137">
        <v>1.9783371133381161E-2</v>
      </c>
      <c r="C137">
        <v>4.3973514308665598E-2</v>
      </c>
      <c r="E137">
        <v>94.537815126050432</v>
      </c>
      <c r="F137">
        <v>0.10289730548153689</v>
      </c>
    </row>
    <row r="138" spans="1:6" x14ac:dyDescent="0.3">
      <c r="A138">
        <v>114</v>
      </c>
      <c r="B138">
        <v>2.6218480751060709E-2</v>
      </c>
      <c r="C138">
        <v>5.0688096276016011E-2</v>
      </c>
      <c r="E138">
        <v>95.378151260504211</v>
      </c>
      <c r="F138">
        <v>0.10357652112776156</v>
      </c>
    </row>
    <row r="139" spans="1:6" x14ac:dyDescent="0.3">
      <c r="A139">
        <v>115</v>
      </c>
      <c r="B139">
        <v>-3.5481941369772285E-2</v>
      </c>
      <c r="C139">
        <v>6.6384948002498834E-2</v>
      </c>
      <c r="E139">
        <v>96.21848739495799</v>
      </c>
      <c r="F139">
        <v>0.10866058953016879</v>
      </c>
    </row>
    <row r="140" spans="1:6" x14ac:dyDescent="0.3">
      <c r="A140">
        <v>116</v>
      </c>
      <c r="B140">
        <v>4.8066601336486187E-2</v>
      </c>
      <c r="C140">
        <v>-0.18623991220787295</v>
      </c>
      <c r="E140">
        <v>97.058823529411768</v>
      </c>
      <c r="F140">
        <v>0.13807044416185962</v>
      </c>
    </row>
    <row r="141" spans="1:6" x14ac:dyDescent="0.3">
      <c r="A141">
        <v>117</v>
      </c>
      <c r="B141">
        <v>8.8413211270922925E-4</v>
      </c>
      <c r="C141">
        <v>-7.3745271666692591E-2</v>
      </c>
      <c r="E141">
        <v>97.899159663865547</v>
      </c>
      <c r="F141">
        <v>0.17524502802353006</v>
      </c>
    </row>
    <row r="142" spans="1:6" x14ac:dyDescent="0.3">
      <c r="A142">
        <v>118</v>
      </c>
      <c r="B142">
        <v>4.3130944195524913E-2</v>
      </c>
      <c r="C142">
        <v>-3.7461755139572242E-2</v>
      </c>
      <c r="E142">
        <v>98.739495798319339</v>
      </c>
      <c r="F142">
        <v>0.17675855430732304</v>
      </c>
    </row>
    <row r="143" spans="1:6" ht="15" thickBot="1" x14ac:dyDescent="0.35">
      <c r="A143" s="79">
        <v>119</v>
      </c>
      <c r="B143" s="79">
        <v>-3.3086745384764095E-3</v>
      </c>
      <c r="C143" s="79">
        <v>1.2867498302173069E-2</v>
      </c>
      <c r="E143" s="79">
        <v>99.579831932773118</v>
      </c>
      <c r="F143" s="79">
        <v>0.22839505520154924</v>
      </c>
    </row>
    <row r="145" spans="2:3" x14ac:dyDescent="0.3">
      <c r="B145" t="s">
        <v>117</v>
      </c>
      <c r="C145" t="s">
        <v>113</v>
      </c>
    </row>
    <row r="146" spans="2:3" x14ac:dyDescent="0.3">
      <c r="B146">
        <f>AVERAGE(C25:C143)</f>
        <v>-3.1487417715209271E-18</v>
      </c>
      <c r="C146">
        <f>COVAR(C25:C143,C25:C143)</f>
        <v>3.3448377447938536E-3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F782-705E-46D6-A814-757BF7F832E6}">
  <dimension ref="A1:I146"/>
  <sheetViews>
    <sheetView workbookViewId="0">
      <selection activeCell="D17" sqref="D17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.6640625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0.23096918327172283</v>
      </c>
    </row>
    <row r="5" spans="1:9" x14ac:dyDescent="0.3">
      <c r="A5" t="s">
        <v>82</v>
      </c>
      <c r="B5">
        <v>5.3346763621206696E-2</v>
      </c>
    </row>
    <row r="6" spans="1:9" x14ac:dyDescent="0.3">
      <c r="A6" t="s">
        <v>83</v>
      </c>
      <c r="B6">
        <v>4.5255710318823847E-2</v>
      </c>
    </row>
    <row r="7" spans="1:9" x14ac:dyDescent="0.3">
      <c r="A7" t="s">
        <v>84</v>
      </c>
      <c r="B7">
        <v>0.1043998298812637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7.1862545566649505E-2</v>
      </c>
      <c r="D12">
        <v>7.1862545566649505E-2</v>
      </c>
      <c r="E12">
        <v>6.5933027045435297</v>
      </c>
      <c r="F12">
        <v>1.1495939037251879E-2</v>
      </c>
    </row>
    <row r="13" spans="1:9" x14ac:dyDescent="0.3">
      <c r="A13" t="s">
        <v>88</v>
      </c>
      <c r="B13">
        <v>117</v>
      </c>
      <c r="C13">
        <v>1.2752209640707057</v>
      </c>
      <c r="D13">
        <v>1.0899324479236801E-2</v>
      </c>
    </row>
    <row r="14" spans="1:9" ht="15" thickBot="1" x14ac:dyDescent="0.35">
      <c r="A14" s="79" t="s">
        <v>89</v>
      </c>
      <c r="B14" s="79">
        <v>118</v>
      </c>
      <c r="C14" s="79">
        <v>1.3470835096373552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-8.0516299358859098E-3</v>
      </c>
      <c r="C17">
        <v>9.9015074007812003E-3</v>
      </c>
      <c r="D17">
        <v>-0.81317213733038862</v>
      </c>
      <c r="E17">
        <v>0.41777106184364932</v>
      </c>
      <c r="F17">
        <v>-2.7661046491108988E-2</v>
      </c>
      <c r="G17">
        <v>1.1557786619337167E-2</v>
      </c>
      <c r="H17">
        <v>-2.7661046491108988E-2</v>
      </c>
      <c r="I17">
        <v>1.1557786619337167E-2</v>
      </c>
    </row>
    <row r="18" spans="1:9" ht="15" thickBot="1" x14ac:dyDescent="0.35">
      <c r="A18" s="79" t="s">
        <v>103</v>
      </c>
      <c r="B18" s="79">
        <v>0.47289639667923689</v>
      </c>
      <c r="C18" s="79">
        <v>0.18416813802111184</v>
      </c>
      <c r="D18" s="79">
        <v>2.5677427255360921</v>
      </c>
      <c r="E18" s="79">
        <v>1.1495939037251955E-2</v>
      </c>
      <c r="F18" s="79">
        <v>0.1081610499813323</v>
      </c>
      <c r="G18" s="79">
        <v>0.83763174337714141</v>
      </c>
      <c r="H18" s="79">
        <v>0.1081610499813323</v>
      </c>
      <c r="I18" s="79">
        <v>0.83763174337714141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-1.9495932044388205E-2</v>
      </c>
      <c r="C25">
        <v>2.4688947216019181E-2</v>
      </c>
      <c r="E25">
        <v>0.42016806722689076</v>
      </c>
      <c r="F25">
        <v>-0.27214170692431561</v>
      </c>
    </row>
    <row r="26" spans="1:9" x14ac:dyDescent="0.3">
      <c r="A26">
        <v>2</v>
      </c>
      <c r="B26">
        <v>2.1299580936794335E-2</v>
      </c>
      <c r="C26">
        <v>0.10577241153437035</v>
      </c>
      <c r="E26">
        <v>1.2605042016806722</v>
      </c>
      <c r="F26">
        <v>-0.24821345878989995</v>
      </c>
    </row>
    <row r="27" spans="1:9" x14ac:dyDescent="0.3">
      <c r="A27">
        <v>3</v>
      </c>
      <c r="B27">
        <v>-1.0558267820198114E-2</v>
      </c>
      <c r="C27">
        <v>0.11595044887170289</v>
      </c>
      <c r="E27">
        <v>2.1008403361344539</v>
      </c>
      <c r="F27">
        <v>-0.22368181452233071</v>
      </c>
    </row>
    <row r="28" spans="1:9" x14ac:dyDescent="0.3">
      <c r="A28">
        <v>4</v>
      </c>
      <c r="B28">
        <v>1.4162318985186372E-2</v>
      </c>
      <c r="C28">
        <v>1.0227833654279627E-2</v>
      </c>
      <c r="E28">
        <v>2.9411764705882351</v>
      </c>
      <c r="F28">
        <v>-0.16556838771333288</v>
      </c>
    </row>
    <row r="29" spans="1:9" x14ac:dyDescent="0.3">
      <c r="A29">
        <v>5</v>
      </c>
      <c r="B29">
        <v>1.5390411275006571E-2</v>
      </c>
      <c r="C29">
        <v>-0.13010911277861606</v>
      </c>
      <c r="E29">
        <v>3.7815126050420167</v>
      </c>
      <c r="F29">
        <v>-0.14960632964902185</v>
      </c>
    </row>
    <row r="30" spans="1:9" x14ac:dyDescent="0.3">
      <c r="A30">
        <v>6</v>
      </c>
      <c r="B30">
        <v>7.3614451866258358E-3</v>
      </c>
      <c r="C30">
        <v>8.1235529007699803E-3</v>
      </c>
      <c r="E30">
        <v>4.6218487394957988</v>
      </c>
      <c r="F30">
        <v>-0.14950714676889376</v>
      </c>
    </row>
    <row r="31" spans="1:9" x14ac:dyDescent="0.3">
      <c r="A31">
        <v>7</v>
      </c>
      <c r="B31">
        <v>6.0736154863466705E-3</v>
      </c>
      <c r="C31">
        <v>-3.1755750225441998E-2</v>
      </c>
      <c r="E31">
        <v>5.46218487394958</v>
      </c>
      <c r="F31">
        <v>-0.14810562571756603</v>
      </c>
    </row>
    <row r="32" spans="1:9" x14ac:dyDescent="0.3">
      <c r="A32">
        <v>8</v>
      </c>
      <c r="B32">
        <v>-1.7277859436219949E-2</v>
      </c>
      <c r="C32">
        <v>-0.14829052827711292</v>
      </c>
      <c r="E32">
        <v>6.302521008403362</v>
      </c>
      <c r="F32">
        <v>-0.14446795584696834</v>
      </c>
    </row>
    <row r="33" spans="1:6" x14ac:dyDescent="0.3">
      <c r="A33">
        <v>9</v>
      </c>
      <c r="B33">
        <v>1.5335948267930872E-2</v>
      </c>
      <c r="C33">
        <v>-3.902796808419428E-2</v>
      </c>
      <c r="E33">
        <v>7.1428571428571432</v>
      </c>
      <c r="F33">
        <v>-0.12634566333624808</v>
      </c>
    </row>
    <row r="34" spans="1:6" x14ac:dyDescent="0.3">
      <c r="A34">
        <v>10</v>
      </c>
      <c r="B34">
        <v>-2.089217326132781E-2</v>
      </c>
      <c r="C34">
        <v>-2.6124883641163648E-2</v>
      </c>
      <c r="E34">
        <v>7.9831932773109244</v>
      </c>
      <c r="F34">
        <v>-0.12500002253818851</v>
      </c>
    </row>
    <row r="35" spans="1:6" x14ac:dyDescent="0.3">
      <c r="A35">
        <v>11</v>
      </c>
      <c r="B35">
        <v>-9.856021909051698E-3</v>
      </c>
      <c r="C35">
        <v>8.0413010847801628E-2</v>
      </c>
      <c r="E35">
        <v>8.8235294117647065</v>
      </c>
      <c r="F35">
        <v>-0.12413788767207745</v>
      </c>
    </row>
    <row r="36" spans="1:6" x14ac:dyDescent="0.3">
      <c r="A36">
        <v>12</v>
      </c>
      <c r="B36">
        <v>1.2384990880368743E-2</v>
      </c>
      <c r="C36">
        <v>-2.2791441251136708E-2</v>
      </c>
      <c r="E36">
        <v>9.6638655462184886</v>
      </c>
      <c r="F36">
        <v>-0.11726722164054788</v>
      </c>
    </row>
    <row r="37" spans="1:6" x14ac:dyDescent="0.3">
      <c r="A37">
        <v>13</v>
      </c>
      <c r="B37">
        <v>6.2055367099553629E-3</v>
      </c>
      <c r="C37">
        <v>-4.9437736269948421E-2</v>
      </c>
      <c r="E37">
        <v>10.504201680672269</v>
      </c>
      <c r="F37">
        <v>-0.11471870150360949</v>
      </c>
    </row>
    <row r="38" spans="1:6" x14ac:dyDescent="0.3">
      <c r="A38">
        <v>14</v>
      </c>
      <c r="B38">
        <v>-2.7667570312945979E-3</v>
      </c>
      <c r="C38">
        <v>-0.11450046460925328</v>
      </c>
      <c r="E38">
        <v>11.344537815126051</v>
      </c>
      <c r="F38">
        <v>-0.11402234075637213</v>
      </c>
    </row>
    <row r="39" spans="1:6" x14ac:dyDescent="0.3">
      <c r="A39">
        <v>15</v>
      </c>
      <c r="B39">
        <v>1.503859923655935E-2</v>
      </c>
      <c r="C39">
        <v>1.2383788591406401E-2</v>
      </c>
      <c r="E39">
        <v>12.184873949579833</v>
      </c>
      <c r="F39">
        <v>-0.1135869544075786</v>
      </c>
    </row>
    <row r="40" spans="1:6" x14ac:dyDescent="0.3">
      <c r="A40">
        <v>16</v>
      </c>
      <c r="B40">
        <v>-1.1886882948843575E-2</v>
      </c>
      <c r="C40">
        <v>-5.7508193140361125E-2</v>
      </c>
      <c r="E40">
        <v>13.025210084033613</v>
      </c>
      <c r="F40">
        <v>-0.10379391943490539</v>
      </c>
    </row>
    <row r="41" spans="1:6" x14ac:dyDescent="0.3">
      <c r="A41">
        <v>17</v>
      </c>
      <c r="B41">
        <v>4.6494078480473714E-3</v>
      </c>
      <c r="C41">
        <v>-6.8384254717836324E-2</v>
      </c>
      <c r="E41">
        <v>13.865546218487395</v>
      </c>
      <c r="F41">
        <v>-0.10281928703717168</v>
      </c>
    </row>
    <row r="42" spans="1:6" x14ac:dyDescent="0.3">
      <c r="A42">
        <v>18</v>
      </c>
      <c r="B42">
        <v>1.2371285837504567E-2</v>
      </c>
      <c r="C42">
        <v>-1.4795537446908036E-3</v>
      </c>
      <c r="E42">
        <v>14.705882352941178</v>
      </c>
      <c r="F42">
        <v>-0.10281195079086115</v>
      </c>
    </row>
    <row r="43" spans="1:6" x14ac:dyDescent="0.3">
      <c r="A43">
        <v>19</v>
      </c>
      <c r="B43">
        <v>-1.9118056137016778E-2</v>
      </c>
      <c r="C43">
        <v>-1.1185067200774338E-2</v>
      </c>
      <c r="E43">
        <v>15.546218487394958</v>
      </c>
      <c r="F43">
        <v>-9.7735396372604394E-2</v>
      </c>
    </row>
    <row r="44" spans="1:6" x14ac:dyDescent="0.3">
      <c r="A44">
        <v>20</v>
      </c>
      <c r="B44">
        <v>-1.7858291831278135E-2</v>
      </c>
      <c r="C44">
        <v>0.28174731794389568</v>
      </c>
      <c r="E44">
        <v>16.386554621848738</v>
      </c>
      <c r="F44">
        <v>-9.2058998315495369E-2</v>
      </c>
    </row>
    <row r="45" spans="1:6" x14ac:dyDescent="0.3">
      <c r="A45">
        <v>21</v>
      </c>
      <c r="B45">
        <v>2.52619650835944E-2</v>
      </c>
      <c r="C45">
        <v>-2.3613637767680232E-2</v>
      </c>
      <c r="E45">
        <v>17.22689075630252</v>
      </c>
      <c r="F45">
        <v>-8.3934393442622948E-2</v>
      </c>
    </row>
    <row r="46" spans="1:6" x14ac:dyDescent="0.3">
      <c r="A46">
        <v>22</v>
      </c>
      <c r="B46">
        <v>-1.9444155933163405E-2</v>
      </c>
      <c r="C46">
        <v>-5.3512556403357635E-2</v>
      </c>
      <c r="E46">
        <v>18.067226890756302</v>
      </c>
      <c r="F46">
        <v>-8.3157894736842111E-2</v>
      </c>
    </row>
    <row r="47" spans="1:6" x14ac:dyDescent="0.3">
      <c r="A47">
        <v>23</v>
      </c>
      <c r="B47">
        <v>7.3916085349297507E-4</v>
      </c>
      <c r="C47">
        <v>-2.7958066566234029E-2</v>
      </c>
      <c r="E47">
        <v>18.907563025210084</v>
      </c>
      <c r="F47">
        <v>-7.9999986061062831E-2</v>
      </c>
    </row>
    <row r="48" spans="1:6" x14ac:dyDescent="0.3">
      <c r="A48">
        <v>24</v>
      </c>
      <c r="B48">
        <v>2.018543091887386E-3</v>
      </c>
      <c r="C48">
        <v>1.9270941454883964E-2</v>
      </c>
      <c r="E48">
        <v>19.747899159663863</v>
      </c>
      <c r="F48">
        <v>-7.6573088573657647E-2</v>
      </c>
    </row>
    <row r="49" spans="1:6" x14ac:dyDescent="0.3">
      <c r="A49">
        <v>25</v>
      </c>
      <c r="B49">
        <v>-1.9746484906999966E-2</v>
      </c>
      <c r="C49">
        <v>5.9254678525691856E-2</v>
      </c>
      <c r="E49">
        <v>20.588235294117645</v>
      </c>
      <c r="F49">
        <v>-7.5916196787368176E-2</v>
      </c>
    </row>
    <row r="50" spans="1:6" x14ac:dyDescent="0.3">
      <c r="A50">
        <v>26</v>
      </c>
      <c r="B50">
        <v>1.2615232000529943E-2</v>
      </c>
      <c r="C50">
        <v>6.7196849468463229E-2</v>
      </c>
      <c r="E50">
        <v>21.428571428571427</v>
      </c>
      <c r="F50">
        <v>-7.5909784689607712E-2</v>
      </c>
    </row>
    <row r="51" spans="1:6" x14ac:dyDescent="0.3">
      <c r="A51">
        <v>27</v>
      </c>
      <c r="B51">
        <v>-4.0443975002774919E-2</v>
      </c>
      <c r="C51">
        <v>-7.3142979404803687E-2</v>
      </c>
      <c r="E51">
        <v>22.268907563025209</v>
      </c>
      <c r="F51">
        <v>-7.4861260614635369E-2</v>
      </c>
    </row>
    <row r="52" spans="1:6" x14ac:dyDescent="0.3">
      <c r="A52">
        <v>28</v>
      </c>
      <c r="B52">
        <v>-1.839774094456445E-2</v>
      </c>
      <c r="C52">
        <v>-2.1454991314611663E-2</v>
      </c>
      <c r="E52">
        <v>23.109243697478991</v>
      </c>
      <c r="F52">
        <v>-7.295671233652104E-2</v>
      </c>
    </row>
    <row r="53" spans="1:6" x14ac:dyDescent="0.3">
      <c r="A53">
        <v>29</v>
      </c>
      <c r="B53">
        <v>4.4855229410350084E-2</v>
      </c>
      <c r="C53">
        <v>-7.1036614654307884E-2</v>
      </c>
      <c r="E53">
        <v>23.949579831932773</v>
      </c>
      <c r="F53">
        <v>-6.953966699314397E-2</v>
      </c>
    </row>
    <row r="54" spans="1:6" x14ac:dyDescent="0.3">
      <c r="A54">
        <v>30</v>
      </c>
      <c r="B54">
        <v>-6.4566333815174043E-3</v>
      </c>
      <c r="C54">
        <v>-4.6909728793238358E-3</v>
      </c>
      <c r="E54">
        <v>24.789915966386552</v>
      </c>
      <c r="F54">
        <v>-6.9395076089204699E-2</v>
      </c>
    </row>
    <row r="55" spans="1:6" x14ac:dyDescent="0.3">
      <c r="A55">
        <v>31</v>
      </c>
      <c r="B55">
        <v>-1.5274043624309536E-2</v>
      </c>
      <c r="C55">
        <v>-1.5892973978287882E-2</v>
      </c>
      <c r="E55">
        <v>25.630252100840334</v>
      </c>
      <c r="F55">
        <v>-6.3734846869788947E-2</v>
      </c>
    </row>
    <row r="56" spans="1:6" x14ac:dyDescent="0.3">
      <c r="A56">
        <v>32</v>
      </c>
      <c r="B56">
        <v>-4.0389551262965909E-2</v>
      </c>
      <c r="C56">
        <v>3.422935379419427E-2</v>
      </c>
      <c r="E56">
        <v>26.470588235294116</v>
      </c>
      <c r="F56">
        <v>-6.0235317647058827E-2</v>
      </c>
    </row>
    <row r="57" spans="1:6" x14ac:dyDescent="0.3">
      <c r="A57">
        <v>33</v>
      </c>
      <c r="B57">
        <v>-1.6677011077274734E-2</v>
      </c>
      <c r="C57">
        <v>-2.1201761396680931E-2</v>
      </c>
      <c r="E57">
        <v>27.310924369747898</v>
      </c>
      <c r="F57">
        <v>-5.7649625616391378E-2</v>
      </c>
    </row>
    <row r="58" spans="1:6" x14ac:dyDescent="0.3">
      <c r="A58">
        <v>34</v>
      </c>
      <c r="B58">
        <v>2.3752308689921071E-2</v>
      </c>
      <c r="C58">
        <v>-0.12754622812482647</v>
      </c>
      <c r="E58">
        <v>28.15126050420168</v>
      </c>
      <c r="F58">
        <v>-4.7539630780872554E-2</v>
      </c>
    </row>
    <row r="59" spans="1:6" x14ac:dyDescent="0.3">
      <c r="A59">
        <v>35</v>
      </c>
      <c r="B59">
        <v>-2.3066527291075063E-2</v>
      </c>
      <c r="C59">
        <v>-1.367461456173133E-2</v>
      </c>
      <c r="E59">
        <v>28.991596638655462</v>
      </c>
      <c r="F59">
        <v>-4.7017056902491458E-2</v>
      </c>
    </row>
    <row r="60" spans="1:6" x14ac:dyDescent="0.3">
      <c r="A60">
        <v>36</v>
      </c>
      <c r="B60">
        <v>1.1837876421592104E-2</v>
      </c>
      <c r="C60">
        <v>-0.11465716345876378</v>
      </c>
      <c r="E60">
        <v>29.831932773109244</v>
      </c>
      <c r="F60">
        <v>-4.5702326085905111E-2</v>
      </c>
    </row>
    <row r="61" spans="1:6" x14ac:dyDescent="0.3">
      <c r="A61">
        <v>37</v>
      </c>
      <c r="B61">
        <v>-1.9151996968379378E-2</v>
      </c>
      <c r="C61">
        <v>-5.5709263646255988E-2</v>
      </c>
      <c r="E61">
        <v>30.672268907563023</v>
      </c>
      <c r="F61">
        <v>-4.5307412964331752E-2</v>
      </c>
    </row>
    <row r="62" spans="1:6" x14ac:dyDescent="0.3">
      <c r="A62">
        <v>38</v>
      </c>
      <c r="B62">
        <v>2.5403381191558112E-2</v>
      </c>
      <c r="C62">
        <v>6.4167382675576534E-2</v>
      </c>
      <c r="E62">
        <v>31.512605042016805</v>
      </c>
      <c r="F62">
        <v>-4.3232199559993058E-2</v>
      </c>
    </row>
    <row r="63" spans="1:6" x14ac:dyDescent="0.3">
      <c r="A63">
        <v>39</v>
      </c>
      <c r="B63">
        <v>-3.9707399501569219E-3</v>
      </c>
      <c r="C63">
        <v>2.4903198587472471E-2</v>
      </c>
      <c r="E63">
        <v>32.352941176470587</v>
      </c>
      <c r="F63">
        <v>-3.9852732259176113E-2</v>
      </c>
    </row>
    <row r="64" spans="1:6" x14ac:dyDescent="0.3">
      <c r="A64">
        <v>40</v>
      </c>
      <c r="B64">
        <v>2.3210960604374189E-3</v>
      </c>
      <c r="C64">
        <v>-0.12645898373251488</v>
      </c>
      <c r="E64">
        <v>33.193277310924366</v>
      </c>
      <c r="F64">
        <v>-3.7878772473955664E-2</v>
      </c>
    </row>
    <row r="65" spans="1:6" x14ac:dyDescent="0.3">
      <c r="A65">
        <v>41</v>
      </c>
      <c r="B65">
        <v>-1.5270646724038738E-2</v>
      </c>
      <c r="C65">
        <v>0.14955443648986344</v>
      </c>
      <c r="E65">
        <v>34.033613445378151</v>
      </c>
      <c r="F65">
        <v>-3.6741141852806393E-2</v>
      </c>
    </row>
    <row r="66" spans="1:6" x14ac:dyDescent="0.3">
      <c r="A66">
        <v>42</v>
      </c>
      <c r="B66">
        <v>-7.1119931213583674E-3</v>
      </c>
      <c r="C66">
        <v>2.0245259722195694E-2</v>
      </c>
      <c r="E66">
        <v>34.87394957983193</v>
      </c>
      <c r="F66">
        <v>-3.5108241418544066E-2</v>
      </c>
    </row>
    <row r="67" spans="1:6" x14ac:dyDescent="0.3">
      <c r="A67">
        <v>43</v>
      </c>
      <c r="B67">
        <v>-2.8604696467988229E-3</v>
      </c>
      <c r="C67">
        <v>0.14730483470349118</v>
      </c>
      <c r="E67">
        <v>35.714285714285715</v>
      </c>
      <c r="F67">
        <v>-3.2719759541179262E-2</v>
      </c>
    </row>
    <row r="68" spans="1:6" x14ac:dyDescent="0.3">
      <c r="A68">
        <v>44</v>
      </c>
      <c r="B68">
        <v>1.6562479321940063E-2</v>
      </c>
      <c r="C68">
        <v>6.3534679589923371E-2</v>
      </c>
      <c r="E68">
        <v>36.554621848739494</v>
      </c>
      <c r="F68">
        <v>-3.2061648377874355E-2</v>
      </c>
    </row>
    <row r="69" spans="1:6" x14ac:dyDescent="0.3">
      <c r="A69">
        <v>45</v>
      </c>
      <c r="B69">
        <v>1.1683928745691052E-2</v>
      </c>
      <c r="C69">
        <v>-1.3931128464692195E-2</v>
      </c>
      <c r="E69">
        <v>37.394957983193279</v>
      </c>
      <c r="F69">
        <v>-3.1167017602597418E-2</v>
      </c>
    </row>
    <row r="70" spans="1:6" x14ac:dyDescent="0.3">
      <c r="A70">
        <v>46</v>
      </c>
      <c r="B70">
        <v>1.3454123417722258E-3</v>
      </c>
      <c r="C70">
        <v>0.10000587952975062</v>
      </c>
      <c r="E70">
        <v>38.235294117647058</v>
      </c>
      <c r="F70">
        <v>-3.0303123337791116E-2</v>
      </c>
    </row>
    <row r="71" spans="1:6" x14ac:dyDescent="0.3">
      <c r="A71">
        <v>47</v>
      </c>
      <c r="B71">
        <v>4.7619462506120428E-3</v>
      </c>
      <c r="C71">
        <v>-3.7481705791791303E-2</v>
      </c>
      <c r="E71">
        <v>39.075630252100837</v>
      </c>
      <c r="F71">
        <v>-3.0107569892473117E-2</v>
      </c>
    </row>
    <row r="72" spans="1:6" x14ac:dyDescent="0.3">
      <c r="A72">
        <v>48</v>
      </c>
      <c r="B72">
        <v>9.3336902006797961E-3</v>
      </c>
      <c r="C72">
        <v>-0.15380164604764812</v>
      </c>
      <c r="E72">
        <v>39.915966386554622</v>
      </c>
      <c r="F72">
        <v>-2.9921260431520876E-2</v>
      </c>
    </row>
    <row r="73" spans="1:6" x14ac:dyDescent="0.3">
      <c r="A73">
        <v>49</v>
      </c>
      <c r="B73">
        <v>-1.9642026510668084E-2</v>
      </c>
      <c r="C73">
        <v>-5.6267758178939628E-2</v>
      </c>
      <c r="E73">
        <v>40.756302521008401</v>
      </c>
      <c r="F73">
        <v>-2.7218905712741055E-2</v>
      </c>
    </row>
    <row r="74" spans="1:6" x14ac:dyDescent="0.3">
      <c r="A74">
        <v>50</v>
      </c>
      <c r="B74">
        <v>1.1495100537608232E-2</v>
      </c>
      <c r="C74">
        <v>6.3596595781222232E-2</v>
      </c>
      <c r="E74">
        <v>41.596638655462186</v>
      </c>
      <c r="F74">
        <v>-2.6181385243957807E-2</v>
      </c>
    </row>
    <row r="75" spans="1:6" x14ac:dyDescent="0.3">
      <c r="A75">
        <v>51</v>
      </c>
      <c r="B75">
        <v>6.5544970883414828E-4</v>
      </c>
      <c r="C75">
        <v>2.2342876671816031E-2</v>
      </c>
      <c r="E75">
        <v>42.436974789915965</v>
      </c>
      <c r="F75">
        <v>-2.5682134739095325E-2</v>
      </c>
    </row>
    <row r="76" spans="1:6" x14ac:dyDescent="0.3">
      <c r="A76">
        <v>52</v>
      </c>
      <c r="B76">
        <v>-8.7860378068055165E-3</v>
      </c>
      <c r="C76">
        <v>7.120747046776771E-3</v>
      </c>
      <c r="E76">
        <v>43.27731092436975</v>
      </c>
      <c r="F76">
        <v>-2.3692019816263406E-2</v>
      </c>
    </row>
    <row r="77" spans="1:6" x14ac:dyDescent="0.3">
      <c r="A77">
        <v>53</v>
      </c>
      <c r="B77">
        <v>1.3243874226500892E-2</v>
      </c>
      <c r="C77">
        <v>-6.0783505007373444E-2</v>
      </c>
      <c r="E77">
        <v>44.117647058823529</v>
      </c>
      <c r="F77">
        <v>-2.3673336390815279E-2</v>
      </c>
    </row>
    <row r="78" spans="1:6" x14ac:dyDescent="0.3">
      <c r="A78">
        <v>54</v>
      </c>
      <c r="B78">
        <v>8.0303064015812935E-4</v>
      </c>
      <c r="C78">
        <v>-2.0067506068104021E-2</v>
      </c>
      <c r="E78">
        <v>44.957983193277308</v>
      </c>
      <c r="F78">
        <v>-2.155886988165252E-2</v>
      </c>
    </row>
    <row r="79" spans="1:6" x14ac:dyDescent="0.3">
      <c r="A79">
        <v>55</v>
      </c>
      <c r="B79">
        <v>-5.7590558529375079E-3</v>
      </c>
      <c r="C79">
        <v>9.3259045081439354E-2</v>
      </c>
      <c r="E79">
        <v>45.798319327731093</v>
      </c>
      <c r="F79">
        <v>-1.9264475427945894E-2</v>
      </c>
    </row>
    <row r="80" spans="1:6" x14ac:dyDescent="0.3">
      <c r="A80">
        <v>56</v>
      </c>
      <c r="B80">
        <v>3.2874608342033228E-2</v>
      </c>
      <c r="C80">
        <v>-3.5337654340613582E-2</v>
      </c>
      <c r="E80">
        <v>46.638655462184872</v>
      </c>
      <c r="F80">
        <v>-1.8029588474874066E-2</v>
      </c>
    </row>
    <row r="81" spans="1:6" x14ac:dyDescent="0.3">
      <c r="A81">
        <v>57</v>
      </c>
      <c r="B81">
        <v>-1.4554496077080321E-2</v>
      </c>
      <c r="C81">
        <v>7.1470960886535475E-3</v>
      </c>
      <c r="E81">
        <v>47.478991596638657</v>
      </c>
      <c r="F81">
        <v>-1.6736397014292765E-2</v>
      </c>
    </row>
    <row r="82" spans="1:6" x14ac:dyDescent="0.3">
      <c r="A82">
        <v>58</v>
      </c>
      <c r="B82">
        <v>-2.6906307087576777E-2</v>
      </c>
      <c r="C82">
        <v>5.3474372059242568E-3</v>
      </c>
      <c r="E82">
        <v>48.319327731092436</v>
      </c>
      <c r="F82">
        <v>-1.6472853968104318E-2</v>
      </c>
    </row>
    <row r="83" spans="1:6" x14ac:dyDescent="0.3">
      <c r="A83">
        <v>59</v>
      </c>
      <c r="B83">
        <v>-6.295463405301553E-3</v>
      </c>
      <c r="C83">
        <v>9.1041245103137103E-2</v>
      </c>
      <c r="E83">
        <v>49.159663865546214</v>
      </c>
      <c r="F83">
        <v>-1.6205896599990475E-2</v>
      </c>
    </row>
    <row r="84" spans="1:6" x14ac:dyDescent="0.3">
      <c r="A84">
        <v>60</v>
      </c>
      <c r="B84">
        <v>1.7875615912146217E-2</v>
      </c>
      <c r="C84">
        <v>-0.14287563845033474</v>
      </c>
      <c r="E84">
        <v>50</v>
      </c>
      <c r="F84">
        <v>-1.114760626084124E-2</v>
      </c>
    </row>
    <row r="85" spans="1:6" x14ac:dyDescent="0.3">
      <c r="A85">
        <v>61</v>
      </c>
      <c r="B85">
        <v>-3.0924169572448491E-3</v>
      </c>
      <c r="C85">
        <v>-2.0580919433570429E-2</v>
      </c>
      <c r="E85">
        <v>50.840336134453779</v>
      </c>
      <c r="F85">
        <v>-1.0406450370767964E-2</v>
      </c>
    </row>
    <row r="86" spans="1:6" x14ac:dyDescent="0.3">
      <c r="A86">
        <v>62</v>
      </c>
      <c r="B86">
        <v>4.7890157830568006E-3</v>
      </c>
      <c r="C86">
        <v>1.7703967769215082E-2</v>
      </c>
      <c r="E86">
        <v>51.680672268907564</v>
      </c>
      <c r="F86">
        <v>-9.8522163443260941E-3</v>
      </c>
    </row>
    <row r="87" spans="1:6" x14ac:dyDescent="0.3">
      <c r="A87">
        <v>63</v>
      </c>
      <c r="B87">
        <v>1.9580048821592581E-2</v>
      </c>
      <c r="C87">
        <v>7.5745311661306103E-2</v>
      </c>
      <c r="E87">
        <v>52.521008403361343</v>
      </c>
      <c r="F87">
        <v>-7.4073999884267739E-3</v>
      </c>
    </row>
    <row r="88" spans="1:6" x14ac:dyDescent="0.3">
      <c r="A88">
        <v>64</v>
      </c>
      <c r="B88">
        <v>-9.7135000032034739E-3</v>
      </c>
      <c r="C88">
        <v>-7.0228970110892911E-3</v>
      </c>
      <c r="E88">
        <v>53.361344537815128</v>
      </c>
      <c r="F88">
        <v>-6.4850629695228264E-3</v>
      </c>
    </row>
    <row r="89" spans="1:6" x14ac:dyDescent="0.3">
      <c r="A89">
        <v>65</v>
      </c>
      <c r="B89">
        <v>-4.9004167893464574E-2</v>
      </c>
      <c r="C89">
        <v>-3.0995818167598256E-2</v>
      </c>
      <c r="E89">
        <v>54.201680672268907</v>
      </c>
      <c r="F89">
        <v>-6.1601974687716362E-3</v>
      </c>
    </row>
    <row r="90" spans="1:6" x14ac:dyDescent="0.3">
      <c r="A90">
        <v>66</v>
      </c>
      <c r="B90">
        <v>-9.2795228464509355E-3</v>
      </c>
      <c r="C90">
        <v>-0.21440229167587976</v>
      </c>
      <c r="E90">
        <v>55.042016806722685</v>
      </c>
      <c r="F90">
        <v>-5.933331466080714E-3</v>
      </c>
    </row>
    <row r="91" spans="1:6" x14ac:dyDescent="0.3">
      <c r="A91">
        <v>67</v>
      </c>
      <c r="B91">
        <v>-5.0178721842153454E-2</v>
      </c>
      <c r="C91">
        <v>3.3972825242162982E-2</v>
      </c>
      <c r="E91">
        <v>55.882352941176471</v>
      </c>
      <c r="F91">
        <v>-2.4630459985803543E-3</v>
      </c>
    </row>
    <row r="92" spans="1:6" x14ac:dyDescent="0.3">
      <c r="A92">
        <v>68</v>
      </c>
      <c r="B92">
        <v>3.5044871254805432E-2</v>
      </c>
      <c r="C92">
        <v>-5.1517725222909747E-2</v>
      </c>
      <c r="E92">
        <v>56.72268907563025</v>
      </c>
      <c r="F92">
        <v>-2.247199719001143E-3</v>
      </c>
    </row>
    <row r="93" spans="1:6" x14ac:dyDescent="0.3">
      <c r="A93">
        <v>69</v>
      </c>
      <c r="B93">
        <v>5.004498194870307E-3</v>
      </c>
      <c r="C93">
        <v>6.0512717449970138E-2</v>
      </c>
      <c r="E93">
        <v>57.563025210084035</v>
      </c>
      <c r="F93">
        <v>-1.6652907600287453E-3</v>
      </c>
    </row>
    <row r="94" spans="1:6" x14ac:dyDescent="0.3">
      <c r="A94">
        <v>70</v>
      </c>
      <c r="B94">
        <v>1.0686930910142551E-2</v>
      </c>
      <c r="C94">
        <v>-5.5994343874474301E-2</v>
      </c>
      <c r="E94">
        <v>58.403361344537814</v>
      </c>
      <c r="F94">
        <v>5.580636160714286E-4</v>
      </c>
    </row>
    <row r="95" spans="1:6" x14ac:dyDescent="0.3">
      <c r="A95">
        <v>71</v>
      </c>
      <c r="B95">
        <v>1.7756278639895193E-2</v>
      </c>
      <c r="C95">
        <v>4.3260712605969226E-2</v>
      </c>
      <c r="E95">
        <v>59.243697478991599</v>
      </c>
      <c r="F95">
        <v>1.6483273159141663E-3</v>
      </c>
    </row>
    <row r="96" spans="1:6" x14ac:dyDescent="0.3">
      <c r="A96">
        <v>72</v>
      </c>
      <c r="B96">
        <v>-4.7766258910236718E-2</v>
      </c>
      <c r="C96">
        <v>4.1832927444156003E-2</v>
      </c>
      <c r="E96">
        <v>60.084033613445378</v>
      </c>
      <c r="F96">
        <v>5.1930151716309755E-3</v>
      </c>
    </row>
    <row r="97" spans="1:6" x14ac:dyDescent="0.3">
      <c r="A97">
        <v>73</v>
      </c>
      <c r="B97">
        <v>2.7981056512772662E-2</v>
      </c>
      <c r="C97">
        <v>-6.3089297931316735E-2</v>
      </c>
      <c r="E97">
        <v>60.924369747899156</v>
      </c>
      <c r="F97">
        <v>1.0891732092813763E-2</v>
      </c>
    </row>
    <row r="98" spans="1:6" x14ac:dyDescent="0.3">
      <c r="A98">
        <v>74</v>
      </c>
      <c r="B98">
        <v>2.9029618917052521E-3</v>
      </c>
      <c r="C98">
        <v>9.3054147315379282E-2</v>
      </c>
      <c r="E98">
        <v>61.764705882352942</v>
      </c>
      <c r="F98">
        <v>1.3133266600837327E-2</v>
      </c>
    </row>
    <row r="99" spans="1:6" x14ac:dyDescent="0.3">
      <c r="A99">
        <v>75</v>
      </c>
      <c r="B99">
        <v>-1.755801103450208E-2</v>
      </c>
      <c r="C99">
        <v>5.0891344367835413E-2</v>
      </c>
      <c r="E99">
        <v>62.605042016806721</v>
      </c>
      <c r="F99">
        <v>1.5484998087395816E-2</v>
      </c>
    </row>
    <row r="100" spans="1:6" x14ac:dyDescent="0.3">
      <c r="A100">
        <v>76</v>
      </c>
      <c r="B100">
        <v>-4.457703710336729E-3</v>
      </c>
      <c r="C100">
        <v>-2.564986618213639E-2</v>
      </c>
      <c r="E100">
        <v>63.445378151260506</v>
      </c>
      <c r="F100">
        <v>2.0123877708978329E-2</v>
      </c>
    </row>
    <row r="101" spans="1:6" x14ac:dyDescent="0.3">
      <c r="A101">
        <v>77</v>
      </c>
      <c r="B101">
        <v>1.2353306906568993E-2</v>
      </c>
      <c r="C101">
        <v>-7.0002932522960373E-2</v>
      </c>
      <c r="E101">
        <v>64.285714285714292</v>
      </c>
      <c r="F101">
        <v>2.0932458637315549E-2</v>
      </c>
    </row>
    <row r="102" spans="1:6" x14ac:dyDescent="0.3">
      <c r="A102">
        <v>78</v>
      </c>
      <c r="B102">
        <v>1.0659269054915368E-2</v>
      </c>
      <c r="C102">
        <v>-7.0894586701974197E-2</v>
      </c>
      <c r="E102">
        <v>65.12605042016807</v>
      </c>
      <c r="F102">
        <v>2.1289484546771348E-2</v>
      </c>
    </row>
    <row r="103" spans="1:6" x14ac:dyDescent="0.3">
      <c r="A103">
        <v>79</v>
      </c>
      <c r="B103">
        <v>1.0484017000401956E-2</v>
      </c>
      <c r="C103">
        <v>2.1564105985279643E-2</v>
      </c>
      <c r="E103">
        <v>65.966386554621849</v>
      </c>
      <c r="F103">
        <v>2.2492983552271882E-2</v>
      </c>
    </row>
    <row r="104" spans="1:6" x14ac:dyDescent="0.3">
      <c r="A104">
        <v>80</v>
      </c>
      <c r="B104">
        <v>5.9428853609306397E-3</v>
      </c>
      <c r="C104">
        <v>-0.11996522611730277</v>
      </c>
      <c r="E104">
        <v>66.806722689075642</v>
      </c>
      <c r="F104">
        <v>2.2998326380650181E-2</v>
      </c>
    </row>
    <row r="105" spans="1:6" x14ac:dyDescent="0.3">
      <c r="A105">
        <v>81</v>
      </c>
      <c r="B105">
        <v>-3.5909422716865515E-2</v>
      </c>
      <c r="C105">
        <v>-0.11359772405202825</v>
      </c>
      <c r="E105">
        <v>67.64705882352942</v>
      </c>
      <c r="F105">
        <v>2.4390152639465999E-2</v>
      </c>
    </row>
    <row r="106" spans="1:6" x14ac:dyDescent="0.3">
      <c r="A106">
        <v>82</v>
      </c>
      <c r="B106">
        <v>-4.4284094416835819E-2</v>
      </c>
      <c r="C106">
        <v>2.6254505941961753E-2</v>
      </c>
      <c r="E106">
        <v>68.487394957983199</v>
      </c>
      <c r="F106">
        <v>2.7422387827965751E-2</v>
      </c>
    </row>
    <row r="107" spans="1:6" x14ac:dyDescent="0.3">
      <c r="A107">
        <v>83</v>
      </c>
      <c r="B107">
        <v>6.3789752436221869E-2</v>
      </c>
      <c r="C107">
        <v>-0.1477241458788448</v>
      </c>
      <c r="E107">
        <v>69.327731092436977</v>
      </c>
      <c r="F107">
        <v>2.9850703571695541E-2</v>
      </c>
    </row>
    <row r="108" spans="1:6" x14ac:dyDescent="0.3">
      <c r="A108">
        <v>84</v>
      </c>
      <c r="B108">
        <v>2.1109740327259603E-2</v>
      </c>
      <c r="C108">
        <v>-0.17071606997628144</v>
      </c>
      <c r="E108">
        <v>70.16806722689077</v>
      </c>
      <c r="F108">
        <v>3.2048122985681597E-2</v>
      </c>
    </row>
    <row r="109" spans="1:6" x14ac:dyDescent="0.3">
      <c r="A109">
        <v>85</v>
      </c>
      <c r="B109">
        <v>2.170723630426831E-2</v>
      </c>
      <c r="C109">
        <v>8.8562081877549867E-2</v>
      </c>
      <c r="E109">
        <v>71.008403361344548</v>
      </c>
      <c r="F109">
        <v>3.3333333333333333E-2</v>
      </c>
    </row>
    <row r="110" spans="1:6" x14ac:dyDescent="0.3">
      <c r="A110">
        <v>86</v>
      </c>
      <c r="B110">
        <v>2.6822738713266105E-2</v>
      </c>
      <c r="C110">
        <v>-0.10339582728692376</v>
      </c>
      <c r="E110">
        <v>71.848739495798327</v>
      </c>
      <c r="F110">
        <v>3.742386939564555E-2</v>
      </c>
    </row>
    <row r="111" spans="1:6" x14ac:dyDescent="0.3">
      <c r="A111">
        <v>87</v>
      </c>
      <c r="B111">
        <v>4.4191306012719561E-2</v>
      </c>
      <c r="C111">
        <v>-5.4043522357045654E-2</v>
      </c>
      <c r="E111">
        <v>72.689075630252105</v>
      </c>
      <c r="F111">
        <v>3.8081133483707556E-2</v>
      </c>
    </row>
    <row r="112" spans="1:6" x14ac:dyDescent="0.3">
      <c r="A112">
        <v>88</v>
      </c>
      <c r="B112">
        <v>-3.5097733834270339E-2</v>
      </c>
      <c r="C112">
        <v>6.4948437405965884E-2</v>
      </c>
      <c r="E112">
        <v>73.529411764705884</v>
      </c>
      <c r="F112">
        <v>3.9508193618691893E-2</v>
      </c>
    </row>
    <row r="113" spans="1:6" x14ac:dyDescent="0.3">
      <c r="A113">
        <v>89</v>
      </c>
      <c r="B113">
        <v>-2.31731929977003E-2</v>
      </c>
      <c r="C113">
        <v>-0.24896851392661531</v>
      </c>
      <c r="E113">
        <v>74.369747899159677</v>
      </c>
      <c r="F113">
        <v>4.716978511530398E-2</v>
      </c>
    </row>
    <row r="114" spans="1:6" x14ac:dyDescent="0.3">
      <c r="A114">
        <v>90</v>
      </c>
      <c r="B114">
        <v>4.3947532214850531E-2</v>
      </c>
      <c r="C114">
        <v>0.38746834167895478</v>
      </c>
      <c r="E114">
        <v>75.210084033613455</v>
      </c>
      <c r="F114">
        <v>5.5386909886687791E-2</v>
      </c>
    </row>
    <row r="115" spans="1:6" x14ac:dyDescent="0.3">
      <c r="A115">
        <v>91</v>
      </c>
      <c r="B115">
        <v>1.5845433695452604E-2</v>
      </c>
      <c r="C115">
        <v>8.3845451145771688E-2</v>
      </c>
      <c r="E115">
        <v>76.050420168067234</v>
      </c>
      <c r="F115">
        <v>6.1016991245864419E-2</v>
      </c>
    </row>
    <row r="116" spans="1:6" x14ac:dyDescent="0.3">
      <c r="A116">
        <v>92</v>
      </c>
      <c r="B116">
        <v>-6.6903721485332447E-3</v>
      </c>
      <c r="C116">
        <v>-8.5368626166962128E-2</v>
      </c>
      <c r="E116">
        <v>76.890756302521012</v>
      </c>
      <c r="F116">
        <v>6.337142152634416E-2</v>
      </c>
    </row>
    <row r="117" spans="1:6" x14ac:dyDescent="0.3">
      <c r="A117">
        <v>93</v>
      </c>
      <c r="B117">
        <v>-8.6348011816805466E-3</v>
      </c>
      <c r="C117">
        <v>2.8758678890658876E-2</v>
      </c>
      <c r="E117">
        <v>77.731092436974791</v>
      </c>
      <c r="F117">
        <v>6.4138285997259181E-2</v>
      </c>
    </row>
    <row r="118" spans="1:6" x14ac:dyDescent="0.3">
      <c r="A118">
        <v>94</v>
      </c>
      <c r="B118">
        <v>-1.3846373065530895E-3</v>
      </c>
      <c r="C118">
        <v>5.677154719324088E-2</v>
      </c>
      <c r="E118">
        <v>78.571428571428584</v>
      </c>
      <c r="F118">
        <v>6.5436220637583892E-2</v>
      </c>
    </row>
    <row r="119" spans="1:6" x14ac:dyDescent="0.3">
      <c r="A119">
        <v>95</v>
      </c>
      <c r="B119">
        <v>1.9738157126534622E-2</v>
      </c>
      <c r="C119">
        <v>0.38716331663335035</v>
      </c>
      <c r="E119">
        <v>79.411764705882362</v>
      </c>
      <c r="F119">
        <v>6.5517215644840449E-2</v>
      </c>
    </row>
    <row r="120" spans="1:6" x14ac:dyDescent="0.3">
      <c r="A120">
        <v>96</v>
      </c>
      <c r="B120">
        <v>-1.3996628515508289E-2</v>
      </c>
      <c r="C120">
        <v>0.23627565821093571</v>
      </c>
      <c r="E120">
        <v>80.252100840336141</v>
      </c>
      <c r="F120">
        <v>7.0556988938749926E-2</v>
      </c>
    </row>
    <row r="121" spans="1:6" x14ac:dyDescent="0.3">
      <c r="A121">
        <v>97</v>
      </c>
      <c r="B121">
        <v>2.1949534549132295E-2</v>
      </c>
      <c r="C121">
        <v>0.17579291946424563</v>
      </c>
      <c r="E121">
        <v>81.092436974789919</v>
      </c>
      <c r="F121">
        <v>7.5091696318830461E-2</v>
      </c>
    </row>
    <row r="122" spans="1:6" x14ac:dyDescent="0.3">
      <c r="A122">
        <v>98</v>
      </c>
      <c r="B122">
        <v>5.1103929004733522E-3</v>
      </c>
      <c r="C122">
        <v>-8.102658968784153E-2</v>
      </c>
      <c r="E122">
        <v>81.932773109243698</v>
      </c>
      <c r="F122">
        <v>7.9812081468993171E-2</v>
      </c>
    </row>
    <row r="123" spans="1:6" x14ac:dyDescent="0.3">
      <c r="A123">
        <v>99</v>
      </c>
      <c r="B123">
        <v>1.1629632791862141E-2</v>
      </c>
      <c r="C123">
        <v>-0.13797529612811021</v>
      </c>
      <c r="E123">
        <v>82.77310924369749</v>
      </c>
      <c r="F123">
        <v>8.0097158911863434E-2</v>
      </c>
    </row>
    <row r="124" spans="1:6" x14ac:dyDescent="0.3">
      <c r="A124">
        <v>100</v>
      </c>
      <c r="B124">
        <v>-3.5148952766743208E-2</v>
      </c>
      <c r="C124">
        <v>2.8663889797220381E-2</v>
      </c>
      <c r="E124">
        <v>83.613445378151269</v>
      </c>
      <c r="F124">
        <v>8.4745781697835545E-2</v>
      </c>
    </row>
    <row r="125" spans="1:6" x14ac:dyDescent="0.3">
      <c r="A125">
        <v>101</v>
      </c>
      <c r="B125">
        <v>2.9319084438149901E-2</v>
      </c>
      <c r="C125">
        <v>8.104784957495649E-3</v>
      </c>
      <c r="E125">
        <v>84.453781512605048</v>
      </c>
      <c r="F125">
        <v>8.7499989228501843E-2</v>
      </c>
    </row>
    <row r="126" spans="1:6" x14ac:dyDescent="0.3">
      <c r="A126">
        <v>102</v>
      </c>
      <c r="B126">
        <v>4.647339935024853E-4</v>
      </c>
      <c r="C126">
        <v>6.4971486644081408E-2</v>
      </c>
      <c r="E126">
        <v>85.294117647058826</v>
      </c>
      <c r="F126">
        <v>8.957076386713464E-2</v>
      </c>
    </row>
    <row r="127" spans="1:6" x14ac:dyDescent="0.3">
      <c r="A127">
        <v>103</v>
      </c>
      <c r="B127">
        <v>-2.6544369276615756E-3</v>
      </c>
      <c r="C127">
        <v>-2.7266823503859301E-2</v>
      </c>
      <c r="E127">
        <v>86.134453781512619</v>
      </c>
      <c r="F127">
        <v>9.5325360482898691E-2</v>
      </c>
    </row>
    <row r="128" spans="1:6" x14ac:dyDescent="0.3">
      <c r="A128">
        <v>104</v>
      </c>
      <c r="B128">
        <v>-4.8329637411037463E-2</v>
      </c>
      <c r="C128">
        <v>1.6267989033163108E-2</v>
      </c>
      <c r="E128">
        <v>86.974789915966397</v>
      </c>
      <c r="F128">
        <v>9.5957109207084529E-2</v>
      </c>
    </row>
    <row r="129" spans="1:6" x14ac:dyDescent="0.3">
      <c r="A129">
        <v>105</v>
      </c>
      <c r="B129">
        <v>-2.9977739831263325E-2</v>
      </c>
      <c r="C129">
        <v>-1.5724586254641786E-2</v>
      </c>
      <c r="E129">
        <v>87.815126050420176</v>
      </c>
      <c r="F129">
        <v>9.9690884841224292E-2</v>
      </c>
    </row>
    <row r="130" spans="1:6" x14ac:dyDescent="0.3">
      <c r="A130">
        <v>106</v>
      </c>
      <c r="B130">
        <v>1.1899453140756995E-2</v>
      </c>
      <c r="C130">
        <v>-0.11471140393161815</v>
      </c>
      <c r="E130">
        <v>88.655462184873954</v>
      </c>
      <c r="F130">
        <v>0.10135129187152285</v>
      </c>
    </row>
    <row r="131" spans="1:6" x14ac:dyDescent="0.3">
      <c r="A131">
        <v>107</v>
      </c>
      <c r="B131">
        <v>-7.1271003417140155E-2</v>
      </c>
      <c r="C131">
        <v>1.7313364239961854E-3</v>
      </c>
      <c r="E131">
        <v>89.495798319327733</v>
      </c>
      <c r="F131">
        <v>0.10539218105150477</v>
      </c>
    </row>
    <row r="132" spans="1:6" x14ac:dyDescent="0.3">
      <c r="A132">
        <v>108</v>
      </c>
      <c r="B132">
        <v>-1.5876345823117685E-2</v>
      </c>
      <c r="C132">
        <v>-6.7281548913724426E-2</v>
      </c>
      <c r="E132">
        <v>90.336134453781526</v>
      </c>
      <c r="F132">
        <v>0.11026931818181818</v>
      </c>
    </row>
    <row r="133" spans="1:6" x14ac:dyDescent="0.3">
      <c r="A133">
        <v>109</v>
      </c>
      <c r="B133">
        <v>-5.0634409766752757E-2</v>
      </c>
      <c r="C133">
        <v>-9.7471215950813261E-2</v>
      </c>
      <c r="E133">
        <v>91.176470588235304</v>
      </c>
      <c r="F133">
        <v>0.12707199247116469</v>
      </c>
    </row>
    <row r="134" spans="1:6" x14ac:dyDescent="0.3">
      <c r="A134">
        <v>110</v>
      </c>
      <c r="B134">
        <v>5.1318785643779743E-2</v>
      </c>
      <c r="C134">
        <v>0.11175399063654372</v>
      </c>
      <c r="E134">
        <v>92.016806722689083</v>
      </c>
      <c r="F134">
        <v>0.1342837897658247</v>
      </c>
    </row>
    <row r="135" spans="1:6" x14ac:dyDescent="0.3">
      <c r="A135">
        <v>111</v>
      </c>
      <c r="B135">
        <v>-3.2738846457822622E-2</v>
      </c>
      <c r="C135">
        <v>0.2042336031206268</v>
      </c>
      <c r="E135">
        <v>92.857142857142861</v>
      </c>
      <c r="F135">
        <v>0.14444436505669236</v>
      </c>
    </row>
    <row r="136" spans="1:6" x14ac:dyDescent="0.3">
      <c r="A136">
        <v>112</v>
      </c>
      <c r="B136">
        <v>-5.8177697610209897E-2</v>
      </c>
      <c r="C136">
        <v>9.6258831093917446E-2</v>
      </c>
      <c r="E136">
        <v>93.69747899159664</v>
      </c>
      <c r="F136">
        <v>0.16307277628032346</v>
      </c>
    </row>
    <row r="137" spans="1:6" x14ac:dyDescent="0.3">
      <c r="A137">
        <v>113</v>
      </c>
      <c r="B137">
        <v>1.0670338279682853E-2</v>
      </c>
      <c r="C137">
        <v>-0.25888379706958281</v>
      </c>
      <c r="E137">
        <v>94.537815126050432</v>
      </c>
      <c r="F137">
        <v>0.17149475666280417</v>
      </c>
    </row>
    <row r="138" spans="1:6" x14ac:dyDescent="0.3">
      <c r="A138">
        <v>114</v>
      </c>
      <c r="B138">
        <v>1.7840869193560642E-2</v>
      </c>
      <c r="C138">
        <v>4.5530552332783518E-2</v>
      </c>
      <c r="E138">
        <v>95.378151260504211</v>
      </c>
      <c r="F138">
        <v>0.18361951176950092</v>
      </c>
    </row>
    <row r="139" spans="1:6" x14ac:dyDescent="0.3">
      <c r="A139">
        <v>115</v>
      </c>
      <c r="B139">
        <v>-5.0910839868433089E-2</v>
      </c>
      <c r="C139">
        <v>-4.6824556504171305E-2</v>
      </c>
      <c r="E139">
        <v>96.21848739495799</v>
      </c>
      <c r="F139">
        <v>0.19774245401337792</v>
      </c>
    </row>
    <row r="140" spans="1:6" x14ac:dyDescent="0.3">
      <c r="A140">
        <v>116</v>
      </c>
      <c r="B140">
        <v>4.2185850611983537E-2</v>
      </c>
      <c r="C140">
        <v>0.14143366115751738</v>
      </c>
      <c r="E140">
        <v>97.058823529411768</v>
      </c>
      <c r="F140">
        <v>0.22227902969542743</v>
      </c>
    </row>
    <row r="141" spans="1:6" x14ac:dyDescent="0.3">
      <c r="A141">
        <v>117</v>
      </c>
      <c r="B141">
        <v>-1.0388755612700615E-2</v>
      </c>
      <c r="C141">
        <v>1.0946819228772045E-2</v>
      </c>
      <c r="E141">
        <v>97.899159663865547</v>
      </c>
      <c r="F141">
        <v>0.26388902611261755</v>
      </c>
    </row>
    <row r="142" spans="1:6" x14ac:dyDescent="0.3">
      <c r="A142">
        <v>118</v>
      </c>
      <c r="B142">
        <v>3.6686133557851004E-2</v>
      </c>
      <c r="C142">
        <v>2.7452152439408177E-2</v>
      </c>
      <c r="E142">
        <v>98.739495798319339</v>
      </c>
      <c r="F142">
        <v>0.406901473759885</v>
      </c>
    </row>
    <row r="143" spans="1:6" ht="15" thickBot="1" x14ac:dyDescent="0.35">
      <c r="A143" s="79">
        <v>119</v>
      </c>
      <c r="B143" s="79">
        <v>-1.5060727264223178E-2</v>
      </c>
      <c r="C143" s="79">
        <v>6.2230512379527161E-2</v>
      </c>
      <c r="E143" s="79">
        <v>99.579831932773118</v>
      </c>
      <c r="F143" s="79">
        <v>0.43141587389380531</v>
      </c>
    </row>
    <row r="145" spans="2:3" x14ac:dyDescent="0.3">
      <c r="B145" t="s">
        <v>117</v>
      </c>
      <c r="C145" t="s">
        <v>113</v>
      </c>
    </row>
    <row r="146" spans="2:3" x14ac:dyDescent="0.3">
      <c r="B146">
        <f>AVERAGE(C25:C143)</f>
        <v>3.9067721979981874E-18</v>
      </c>
      <c r="C146">
        <f>COVAR(C25:C143,C25:C143)</f>
        <v>1.0716142555216015E-2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943B-56A5-49F4-8C2A-F297C4E41E54}">
  <dimension ref="A1:I146"/>
  <sheetViews>
    <sheetView workbookViewId="0">
      <selection activeCell="C145" sqref="C145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0.1373808008922203</v>
      </c>
    </row>
    <row r="5" spans="1:9" x14ac:dyDescent="0.3">
      <c r="A5" t="s">
        <v>82</v>
      </c>
      <c r="B5">
        <v>1.8873484453787878E-2</v>
      </c>
    </row>
    <row r="6" spans="1:9" x14ac:dyDescent="0.3">
      <c r="A6" t="s">
        <v>83</v>
      </c>
      <c r="B6">
        <v>1.0487787739717688E-2</v>
      </c>
    </row>
    <row r="7" spans="1:9" x14ac:dyDescent="0.3">
      <c r="A7" t="s">
        <v>84</v>
      </c>
      <c r="B7">
        <v>9.6807240538191633E-2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2.1092527220922586E-2</v>
      </c>
      <c r="D12">
        <v>2.1092527220922586E-2</v>
      </c>
      <c r="E12">
        <v>2.2506757753497624</v>
      </c>
      <c r="F12">
        <v>0.13624978467425311</v>
      </c>
    </row>
    <row r="13" spans="1:9" x14ac:dyDescent="0.3">
      <c r="A13" t="s">
        <v>88</v>
      </c>
      <c r="B13">
        <v>117</v>
      </c>
      <c r="C13">
        <v>1.0964820930124572</v>
      </c>
      <c r="D13">
        <v>9.371641820619293E-3</v>
      </c>
    </row>
    <row r="14" spans="1:9" ht="15" thickBot="1" x14ac:dyDescent="0.35">
      <c r="A14" s="79" t="s">
        <v>89</v>
      </c>
      <c r="B14" s="79">
        <v>118</v>
      </c>
      <c r="C14" s="79">
        <v>1.1175746202333798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9.5763016395367887E-3</v>
      </c>
      <c r="C17">
        <v>9.1814096797693708E-3</v>
      </c>
      <c r="D17">
        <v>1.0430099487486695</v>
      </c>
      <c r="E17">
        <v>0.29909400592787044</v>
      </c>
      <c r="F17">
        <v>-8.6069991132910178E-3</v>
      </c>
      <c r="G17">
        <v>2.7759602392364593E-2</v>
      </c>
      <c r="H17">
        <v>-8.6069991132910178E-3</v>
      </c>
      <c r="I17">
        <v>2.7759602392364593E-2</v>
      </c>
    </row>
    <row r="18" spans="1:9" ht="15" thickBot="1" x14ac:dyDescent="0.35">
      <c r="A18" s="79" t="s">
        <v>103</v>
      </c>
      <c r="B18" s="79">
        <v>0.25619993513558403</v>
      </c>
      <c r="C18" s="79">
        <v>0.17077431311102478</v>
      </c>
      <c r="D18" s="79">
        <v>1.500225241538649</v>
      </c>
      <c r="E18" s="143">
        <v>0.13624978467425886</v>
      </c>
      <c r="F18" s="79">
        <v>-8.2009643181952696E-2</v>
      </c>
      <c r="G18" s="79">
        <v>0.59440951345312076</v>
      </c>
      <c r="H18" s="79">
        <v>-8.2009643181952696E-2</v>
      </c>
      <c r="I18" s="79">
        <v>0.59440951345312076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3.3761498124990881E-3</v>
      </c>
      <c r="C25">
        <v>-3.3761498124990881E-3</v>
      </c>
      <c r="E25">
        <v>0.42016806722689076</v>
      </c>
      <c r="F25">
        <v>-0.23839201436861546</v>
      </c>
    </row>
    <row r="26" spans="1:9" x14ac:dyDescent="0.3">
      <c r="A26">
        <v>2</v>
      </c>
      <c r="B26">
        <v>2.5477836044401694E-2</v>
      </c>
      <c r="C26">
        <v>-4.368446072477692E-2</v>
      </c>
      <c r="E26">
        <v>1.2605042016806722</v>
      </c>
      <c r="F26">
        <v>-0.18742136905517812</v>
      </c>
    </row>
    <row r="27" spans="1:9" x14ac:dyDescent="0.3">
      <c r="A27">
        <v>3</v>
      </c>
      <c r="B27">
        <v>8.2182865058228697E-3</v>
      </c>
      <c r="C27">
        <v>9.9338326571385374E-2</v>
      </c>
      <c r="E27">
        <v>2.1008403361344539</v>
      </c>
      <c r="F27">
        <v>-0.17516766527586819</v>
      </c>
    </row>
    <row r="28" spans="1:9" x14ac:dyDescent="0.3">
      <c r="A28">
        <v>4</v>
      </c>
      <c r="B28">
        <v>2.1611098928432639E-2</v>
      </c>
      <c r="C28">
        <v>-6.0957928200928053E-2</v>
      </c>
      <c r="E28">
        <v>2.9411764705882351</v>
      </c>
      <c r="F28">
        <v>-0.1660759778499272</v>
      </c>
    </row>
    <row r="29" spans="1:9" x14ac:dyDescent="0.3">
      <c r="A29">
        <v>5</v>
      </c>
      <c r="B29">
        <v>2.2276439512970571E-2</v>
      </c>
      <c r="C29">
        <v>-6.9770950286772077E-2</v>
      </c>
      <c r="E29">
        <v>3.7815126050420167</v>
      </c>
      <c r="F29">
        <v>-0.15679727765926818</v>
      </c>
    </row>
    <row r="30" spans="1:9" x14ac:dyDescent="0.3">
      <c r="A30">
        <v>6</v>
      </c>
      <c r="B30">
        <v>1.7926606007167365E-2</v>
      </c>
      <c r="C30">
        <v>2.2013422527837091E-3</v>
      </c>
      <c r="E30">
        <v>4.6218487394957988</v>
      </c>
      <c r="F30">
        <v>-0.14309842627893787</v>
      </c>
    </row>
    <row r="31" spans="1:9" x14ac:dyDescent="0.3">
      <c r="A31">
        <v>7</v>
      </c>
      <c r="B31">
        <v>1.7228901630491816E-2</v>
      </c>
      <c r="C31">
        <v>-4.7273817441835717E-2</v>
      </c>
      <c r="E31">
        <v>5.46218487394958</v>
      </c>
      <c r="F31">
        <v>-0.14108734069623896</v>
      </c>
    </row>
    <row r="32" spans="1:9" x14ac:dyDescent="0.3">
      <c r="A32">
        <v>8</v>
      </c>
      <c r="B32">
        <v>4.5778296356680055E-3</v>
      </c>
      <c r="C32">
        <v>-5.9131512048026934E-2</v>
      </c>
      <c r="E32">
        <v>6.302521008403362</v>
      </c>
      <c r="F32">
        <v>-0.13568943137685247</v>
      </c>
    </row>
    <row r="33" spans="1:6" x14ac:dyDescent="0.3">
      <c r="A33">
        <v>9</v>
      </c>
      <c r="B33">
        <v>2.2246933221575525E-2</v>
      </c>
      <c r="C33">
        <v>7.3107499729790387E-2</v>
      </c>
      <c r="E33">
        <v>7.1428571428571432</v>
      </c>
      <c r="F33">
        <v>-0.13248802995083409</v>
      </c>
    </row>
    <row r="34" spans="1:6" x14ac:dyDescent="0.3">
      <c r="A34">
        <v>10</v>
      </c>
      <c r="B34">
        <v>2.6197115910926499E-3</v>
      </c>
      <c r="C34">
        <v>0.13711239150159785</v>
      </c>
      <c r="E34">
        <v>7.9831932773109244</v>
      </c>
      <c r="F34">
        <v>-0.13083090570067782</v>
      </c>
    </row>
    <row r="35" spans="1:6" x14ac:dyDescent="0.3">
      <c r="A35">
        <v>11</v>
      </c>
      <c r="B35">
        <v>8.5987405717627644E-3</v>
      </c>
      <c r="C35">
        <v>1.3100288434589914E-3</v>
      </c>
      <c r="E35">
        <v>8.8235294117647065</v>
      </c>
      <c r="F35">
        <v>-0.12745096200551534</v>
      </c>
    </row>
    <row r="36" spans="1:6" x14ac:dyDescent="0.3">
      <c r="A36">
        <v>12</v>
      </c>
      <c r="B36">
        <v>2.0648200187045548E-2</v>
      </c>
      <c r="C36">
        <v>6.7622118866173753E-2</v>
      </c>
      <c r="E36">
        <v>9.6638655462184886</v>
      </c>
      <c r="F36">
        <v>-0.1215307008715367</v>
      </c>
    </row>
    <row r="37" spans="1:6" x14ac:dyDescent="0.3">
      <c r="A37">
        <v>13</v>
      </c>
      <c r="B37">
        <v>1.730037227219873E-2</v>
      </c>
      <c r="C37">
        <v>3.2389126841839963E-2</v>
      </c>
      <c r="E37">
        <v>10.504201680672269</v>
      </c>
      <c r="F37">
        <v>-0.12066205437706547</v>
      </c>
    </row>
    <row r="38" spans="1:6" x14ac:dyDescent="0.3">
      <c r="A38">
        <v>14</v>
      </c>
      <c r="B38">
        <v>1.2439474429314885E-2</v>
      </c>
      <c r="C38">
        <v>4.3947490069210074E-2</v>
      </c>
      <c r="E38">
        <v>11.344537815126051</v>
      </c>
      <c r="F38">
        <v>-0.11187703806674443</v>
      </c>
    </row>
    <row r="39" spans="1:6" x14ac:dyDescent="0.3">
      <c r="A39">
        <v>15</v>
      </c>
      <c r="B39">
        <v>2.2085839157241421E-2</v>
      </c>
      <c r="C39">
        <v>8.8293110263246974E-2</v>
      </c>
      <c r="E39">
        <v>12.184873949579833</v>
      </c>
      <c r="F39">
        <v>-0.10857589792911122</v>
      </c>
    </row>
    <row r="40" spans="1:6" x14ac:dyDescent="0.3">
      <c r="A40">
        <v>16</v>
      </c>
      <c r="B40">
        <v>7.4984859064327917E-3</v>
      </c>
      <c r="C40">
        <v>4.5914072184459649E-2</v>
      </c>
      <c r="E40">
        <v>13.025210084033613</v>
      </c>
      <c r="F40">
        <v>-0.10478915567349981</v>
      </c>
    </row>
    <row r="41" spans="1:6" x14ac:dyDescent="0.3">
      <c r="A41">
        <v>17</v>
      </c>
      <c r="B41">
        <v>1.6457312108740012E-2</v>
      </c>
      <c r="C41">
        <v>-7.5612297357356251E-2</v>
      </c>
      <c r="E41">
        <v>13.865546218487395</v>
      </c>
      <c r="F41">
        <v>-9.5836855167684656E-2</v>
      </c>
    </row>
    <row r="42" spans="1:6" x14ac:dyDescent="0.3">
      <c r="A42">
        <v>18</v>
      </c>
      <c r="B42">
        <v>2.0640775239176439E-2</v>
      </c>
      <c r="C42">
        <v>7.0676554302089342E-2</v>
      </c>
      <c r="E42">
        <v>14.705882352941178</v>
      </c>
      <c r="F42">
        <v>-9.2970542818363824E-2</v>
      </c>
    </row>
    <row r="43" spans="1:6" x14ac:dyDescent="0.3">
      <c r="A43">
        <v>19</v>
      </c>
      <c r="B43">
        <v>3.5808707273499718E-3</v>
      </c>
      <c r="C43">
        <v>6.3085824736654653E-2</v>
      </c>
      <c r="E43">
        <v>15.546218487394958</v>
      </c>
      <c r="F43">
        <v>-8.5872548382851979E-2</v>
      </c>
    </row>
    <row r="44" spans="1:6" x14ac:dyDescent="0.3">
      <c r="A44">
        <v>20</v>
      </c>
      <c r="B44">
        <v>4.2633701832197647E-3</v>
      </c>
      <c r="C44">
        <v>5.3349920707793944E-2</v>
      </c>
      <c r="E44">
        <v>16.386554621848738</v>
      </c>
      <c r="F44">
        <v>-7.9083354541329823E-2</v>
      </c>
    </row>
    <row r="45" spans="1:6" x14ac:dyDescent="0.3">
      <c r="A45">
        <v>21</v>
      </c>
      <c r="B45">
        <v>2.7624527303884948E-2</v>
      </c>
      <c r="C45">
        <v>-3.2002171520439236E-2</v>
      </c>
      <c r="E45">
        <v>17.22689075630252</v>
      </c>
      <c r="F45">
        <v>-7.3135511880772441E-2</v>
      </c>
    </row>
    <row r="46" spans="1:6" x14ac:dyDescent="0.3">
      <c r="A46">
        <v>22</v>
      </c>
      <c r="B46">
        <v>3.4042004308385727E-3</v>
      </c>
      <c r="C46">
        <v>-3.6134840043970162E-2</v>
      </c>
      <c r="E46">
        <v>18.067226890756302</v>
      </c>
      <c r="F46">
        <v>-6.900723499064941E-2</v>
      </c>
    </row>
    <row r="47" spans="1:6" x14ac:dyDescent="0.3">
      <c r="A47">
        <v>23</v>
      </c>
      <c r="B47">
        <v>1.4338867067915418E-2</v>
      </c>
      <c r="C47">
        <v>8.4877594143447019E-3</v>
      </c>
      <c r="E47">
        <v>18.907563025210084</v>
      </c>
      <c r="F47">
        <v>-5.9154985248616246E-2</v>
      </c>
    </row>
    <row r="48" spans="1:6" x14ac:dyDescent="0.3">
      <c r="A48">
        <v>24</v>
      </c>
      <c r="B48">
        <v>1.503199488363146E-2</v>
      </c>
      <c r="C48">
        <v>0.22726983386135219</v>
      </c>
      <c r="E48">
        <v>19.747899159663863</v>
      </c>
      <c r="F48">
        <v>-5.8512823334124803E-2</v>
      </c>
    </row>
    <row r="49" spans="1:6" x14ac:dyDescent="0.3">
      <c r="A49">
        <v>25</v>
      </c>
      <c r="B49">
        <v>3.2404083951401638E-3</v>
      </c>
      <c r="C49">
        <v>-6.1753231729264967E-2</v>
      </c>
      <c r="E49">
        <v>20.588235294117645</v>
      </c>
      <c r="F49">
        <v>-5.6116297263893472E-2</v>
      </c>
    </row>
    <row r="50" spans="1:6" x14ac:dyDescent="0.3">
      <c r="A50">
        <v>26</v>
      </c>
      <c r="B50">
        <v>2.0772937360906601E-2</v>
      </c>
      <c r="C50">
        <v>-9.1957804962736894E-4</v>
      </c>
      <c r="E50">
        <v>21.428571428571427</v>
      </c>
      <c r="F50">
        <v>-5.6095057015673015E-2</v>
      </c>
    </row>
    <row r="51" spans="1:6" x14ac:dyDescent="0.3">
      <c r="A51">
        <v>27</v>
      </c>
      <c r="B51">
        <v>-7.9728206699223193E-3</v>
      </c>
      <c r="C51">
        <v>1.0511888895892845E-2</v>
      </c>
      <c r="E51">
        <v>22.268907563025209</v>
      </c>
      <c r="F51">
        <v>-5.4553682412358931E-2</v>
      </c>
    </row>
    <row r="52" spans="1:6" x14ac:dyDescent="0.3">
      <c r="A52">
        <v>28</v>
      </c>
      <c r="B52">
        <v>3.9711141440462467E-3</v>
      </c>
      <c r="C52">
        <v>-0.14706954042298412</v>
      </c>
      <c r="E52">
        <v>23.109243697478991</v>
      </c>
      <c r="F52">
        <v>-5.1003760317384114E-2</v>
      </c>
    </row>
    <row r="53" spans="1:6" x14ac:dyDescent="0.3">
      <c r="A53">
        <v>29</v>
      </c>
      <c r="B53">
        <v>3.8239522649290501E-2</v>
      </c>
      <c r="C53">
        <v>4.7967560420650986E-2</v>
      </c>
      <c r="E53">
        <v>23.949579831932773</v>
      </c>
      <c r="F53">
        <v>-4.7494510773801513E-2</v>
      </c>
    </row>
    <row r="54" spans="1:6" x14ac:dyDescent="0.3">
      <c r="A54">
        <v>30</v>
      </c>
      <c r="B54">
        <v>1.044041905857449E-2</v>
      </c>
      <c r="C54">
        <v>-0.10341096187693831</v>
      </c>
      <c r="E54">
        <v>24.789915966386552</v>
      </c>
      <c r="F54">
        <v>-4.3802362690244019E-2</v>
      </c>
    </row>
    <row r="55" spans="1:6" x14ac:dyDescent="0.3">
      <c r="A55">
        <v>31</v>
      </c>
      <c r="B55">
        <v>5.6634320734115237E-3</v>
      </c>
      <c r="C55">
        <v>-1.8163446371524651E-2</v>
      </c>
      <c r="E55">
        <v>25.630252100840334</v>
      </c>
      <c r="F55">
        <v>-4.1530440001157874E-2</v>
      </c>
    </row>
    <row r="56" spans="1:6" x14ac:dyDescent="0.3">
      <c r="A56">
        <v>32</v>
      </c>
      <c r="B56">
        <v>-7.9433356522592164E-3</v>
      </c>
      <c r="C56">
        <v>-0.15813264219766798</v>
      </c>
      <c r="E56">
        <v>26.470588235294116</v>
      </c>
      <c r="F56">
        <v>-3.9346829272495415E-2</v>
      </c>
    </row>
    <row r="57" spans="1:6" x14ac:dyDescent="0.3">
      <c r="A57">
        <v>33</v>
      </c>
      <c r="B57">
        <v>4.9033497954092528E-3</v>
      </c>
      <c r="C57">
        <v>1.6347304405170238E-2</v>
      </c>
      <c r="E57">
        <v>27.310924369747898</v>
      </c>
      <c r="F57">
        <v>-3.7813456549208042E-2</v>
      </c>
    </row>
    <row r="58" spans="1:6" x14ac:dyDescent="0.3">
      <c r="A58">
        <v>34</v>
      </c>
      <c r="B58">
        <v>2.6806644416952165E-2</v>
      </c>
      <c r="C58">
        <v>5.2980199594187261E-3</v>
      </c>
      <c r="E58">
        <v>28.15126050420168</v>
      </c>
      <c r="F58">
        <v>-3.4636359696587349E-2</v>
      </c>
    </row>
    <row r="59" spans="1:6" x14ac:dyDescent="0.3">
      <c r="A59">
        <v>35</v>
      </c>
      <c r="B59">
        <v>1.4417170762372113E-3</v>
      </c>
      <c r="C59">
        <v>2.2611683608750904E-2</v>
      </c>
      <c r="E59">
        <v>28.991596638655462</v>
      </c>
      <c r="F59">
        <v>-3.2730639613131586E-2</v>
      </c>
    </row>
    <row r="60" spans="1:6" x14ac:dyDescent="0.3">
      <c r="A60">
        <v>36</v>
      </c>
      <c r="B60">
        <v>2.0351791312216688E-2</v>
      </c>
      <c r="C60">
        <v>7.5877361790775179E-3</v>
      </c>
      <c r="E60">
        <v>29.831932773109244</v>
      </c>
      <c r="F60">
        <v>-3.0044915811343904E-2</v>
      </c>
    </row>
    <row r="61" spans="1:6" x14ac:dyDescent="0.3">
      <c r="A61">
        <v>37</v>
      </c>
      <c r="B61">
        <v>3.5624826853716263E-3</v>
      </c>
      <c r="C61">
        <v>-0.24195449705398708</v>
      </c>
      <c r="E61">
        <v>30.672268907563023</v>
      </c>
      <c r="F61">
        <v>-2.8976888848359091E-2</v>
      </c>
    </row>
    <row r="62" spans="1:6" x14ac:dyDescent="0.3">
      <c r="A62">
        <v>38</v>
      </c>
      <c r="B62">
        <v>2.7701141966085481E-2</v>
      </c>
      <c r="C62">
        <v>8.0105592203641884E-2</v>
      </c>
      <c r="E62">
        <v>31.512605042016805</v>
      </c>
      <c r="F62">
        <v>-2.8891491621862574E-2</v>
      </c>
    </row>
    <row r="63" spans="1:6" x14ac:dyDescent="0.3">
      <c r="A63">
        <v>39</v>
      </c>
      <c r="B63">
        <v>1.1787195520270657E-2</v>
      </c>
      <c r="C63">
        <v>0.12646789775716713</v>
      </c>
      <c r="E63">
        <v>32.352941176470587</v>
      </c>
      <c r="F63">
        <v>-2.575485870848691E-2</v>
      </c>
    </row>
    <row r="64" spans="1:6" x14ac:dyDescent="0.3">
      <c r="A64">
        <v>40</v>
      </c>
      <c r="B64">
        <v>1.5195908272403112E-2</v>
      </c>
      <c r="C64">
        <v>-4.4087399894265689E-2</v>
      </c>
      <c r="E64">
        <v>33.193277310924366</v>
      </c>
      <c r="F64">
        <v>-2.507474296358966E-2</v>
      </c>
    </row>
    <row r="65" spans="1:6" x14ac:dyDescent="0.3">
      <c r="A65">
        <v>41</v>
      </c>
      <c r="B65">
        <v>5.6652724038415104E-3</v>
      </c>
      <c r="C65">
        <v>9.9981298800912902E-2</v>
      </c>
      <c r="E65">
        <v>34.033613445378151</v>
      </c>
      <c r="F65">
        <v>-2.330392623678124E-2</v>
      </c>
    </row>
    <row r="66" spans="1:6" x14ac:dyDescent="0.3">
      <c r="A66">
        <v>42</v>
      </c>
      <c r="B66">
        <v>1.0085366400070907E-2</v>
      </c>
      <c r="C66">
        <v>7.668029431548061E-2</v>
      </c>
      <c r="E66">
        <v>34.87394957983193</v>
      </c>
      <c r="F66">
        <v>-1.8867956507882883E-2</v>
      </c>
    </row>
    <row r="67" spans="1:6" x14ac:dyDescent="0.3">
      <c r="A67">
        <v>43</v>
      </c>
      <c r="B67">
        <v>1.2388703972652147E-2</v>
      </c>
      <c r="C67">
        <v>-1.4409938020880662E-2</v>
      </c>
      <c r="E67">
        <v>35.714285714285715</v>
      </c>
      <c r="F67">
        <v>-1.8225500643958985E-2</v>
      </c>
    </row>
    <row r="68" spans="1:6" x14ac:dyDescent="0.3">
      <c r="A68">
        <v>44</v>
      </c>
      <c r="B68">
        <v>2.2911427979170562E-2</v>
      </c>
      <c r="C68">
        <v>-3.1647115830913328E-3</v>
      </c>
      <c r="E68">
        <v>36.554621848739494</v>
      </c>
      <c r="F68">
        <v>-1.8206624680375226E-2</v>
      </c>
    </row>
    <row r="69" spans="1:6" x14ac:dyDescent="0.3">
      <c r="A69">
        <v>45</v>
      </c>
      <c r="B69">
        <v>2.0268387452815159E-2</v>
      </c>
      <c r="C69">
        <v>-1.6792698626019672E-2</v>
      </c>
      <c r="E69">
        <v>37.394957983193279</v>
      </c>
      <c r="F69">
        <v>-1.6745438848640895E-2</v>
      </c>
    </row>
    <row r="70" spans="1:6" x14ac:dyDescent="0.3">
      <c r="A70">
        <v>46</v>
      </c>
      <c r="B70">
        <v>1.4667314467945725E-2</v>
      </c>
      <c r="C70">
        <v>-4.9303674164533073E-2</v>
      </c>
      <c r="E70">
        <v>38.235294117647058</v>
      </c>
      <c r="F70">
        <v>-1.2500014298113126E-2</v>
      </c>
    </row>
    <row r="71" spans="1:6" x14ac:dyDescent="0.3">
      <c r="A71">
        <v>47</v>
      </c>
      <c r="B71">
        <v>1.6518281766448963E-2</v>
      </c>
      <c r="C71">
        <v>1.8433034777241328E-2</v>
      </c>
      <c r="E71">
        <v>39.075630252100837</v>
      </c>
      <c r="F71">
        <v>-1.1531401137206116E-2</v>
      </c>
    </row>
    <row r="72" spans="1:6" x14ac:dyDescent="0.3">
      <c r="A72">
        <v>48</v>
      </c>
      <c r="B72">
        <v>1.8995104410243248E-2</v>
      </c>
      <c r="C72">
        <v>0.12939863907317223</v>
      </c>
      <c r="E72">
        <v>39.915966386554622</v>
      </c>
      <c r="F72">
        <v>-8.6143990774158168E-3</v>
      </c>
    </row>
    <row r="73" spans="1:6" x14ac:dyDescent="0.3">
      <c r="A73">
        <v>49</v>
      </c>
      <c r="B73">
        <v>3.2970005674479346E-3</v>
      </c>
      <c r="C73">
        <v>-2.9051859275934844E-2</v>
      </c>
      <c r="E73">
        <v>40.756302521008401</v>
      </c>
      <c r="F73">
        <v>-8.5431980113474474E-3</v>
      </c>
    </row>
    <row r="74" spans="1:6" x14ac:dyDescent="0.3">
      <c r="A74">
        <v>50</v>
      </c>
      <c r="B74">
        <v>2.0166086451999118E-2</v>
      </c>
      <c r="C74">
        <v>3.0882089461140683E-2</v>
      </c>
      <c r="E74">
        <v>41.596638655462186</v>
      </c>
      <c r="F74">
        <v>-4.3776442165542884E-3</v>
      </c>
    </row>
    <row r="75" spans="1:6" x14ac:dyDescent="0.3">
      <c r="A75">
        <v>51</v>
      </c>
      <c r="B75">
        <v>1.4293515083881873E-2</v>
      </c>
      <c r="C75">
        <v>-0.11013037025156652</v>
      </c>
      <c r="E75">
        <v>42.436974789915965</v>
      </c>
      <c r="F75">
        <v>-2.0212340482285143E-3</v>
      </c>
    </row>
    <row r="76" spans="1:6" x14ac:dyDescent="0.3">
      <c r="A76">
        <v>52</v>
      </c>
      <c r="B76">
        <v>9.1784232665698441E-3</v>
      </c>
      <c r="C76">
        <v>-2.740392391052883E-2</v>
      </c>
      <c r="E76">
        <v>43.27731092436975</v>
      </c>
      <c r="F76">
        <v>0</v>
      </c>
    </row>
    <row r="77" spans="1:6" x14ac:dyDescent="0.3">
      <c r="A77">
        <v>53</v>
      </c>
      <c r="B77">
        <v>2.1113515336649756E-2</v>
      </c>
      <c r="C77">
        <v>3.7997334234818797E-2</v>
      </c>
      <c r="E77">
        <v>44.117647058823529</v>
      </c>
      <c r="F77">
        <v>0</v>
      </c>
    </row>
    <row r="78" spans="1:6" x14ac:dyDescent="0.3">
      <c r="A78">
        <v>54</v>
      </c>
      <c r="B78">
        <v>1.437346964749869E-2</v>
      </c>
      <c r="C78">
        <v>-2.5904870784704805E-2</v>
      </c>
      <c r="E78">
        <v>44.957983193277308</v>
      </c>
      <c r="F78">
        <v>2.5390682259705255E-3</v>
      </c>
    </row>
    <row r="79" spans="1:6" x14ac:dyDescent="0.3">
      <c r="A79">
        <v>55</v>
      </c>
      <c r="B79">
        <v>1.0818343946201483E-2</v>
      </c>
      <c r="C79">
        <v>-1.0818343946201483E-2</v>
      </c>
      <c r="E79">
        <v>45.798319327731093</v>
      </c>
      <c r="F79">
        <v>3.4756888267954878E-3</v>
      </c>
    </row>
    <row r="80" spans="1:6" x14ac:dyDescent="0.3">
      <c r="A80">
        <v>56</v>
      </c>
      <c r="B80">
        <v>3.1748810598742204E-2</v>
      </c>
      <c r="C80">
        <v>-7.3279250599900078E-2</v>
      </c>
      <c r="E80">
        <v>46.638655462184872</v>
      </c>
      <c r="F80">
        <v>4.6472835616221024E-3</v>
      </c>
    </row>
    <row r="81" spans="1:6" x14ac:dyDescent="0.3">
      <c r="A81">
        <v>57</v>
      </c>
      <c r="B81">
        <v>6.0532596048150566E-3</v>
      </c>
      <c r="C81">
        <v>0.10981823610296823</v>
      </c>
      <c r="E81">
        <v>47.478991596638657</v>
      </c>
      <c r="F81">
        <v>6.410189379008272E-3</v>
      </c>
    </row>
    <row r="82" spans="1:6" x14ac:dyDescent="0.3">
      <c r="A82">
        <v>58</v>
      </c>
      <c r="B82">
        <v>-6.3855112142033668E-4</v>
      </c>
      <c r="C82">
        <v>-0.13505088025543213</v>
      </c>
      <c r="E82">
        <v>48.319327731092436</v>
      </c>
      <c r="F82">
        <v>9.9087694152217558E-3</v>
      </c>
    </row>
    <row r="83" spans="1:6" x14ac:dyDescent="0.3">
      <c r="A83">
        <v>59</v>
      </c>
      <c r="B83">
        <v>1.0527735726119987E-2</v>
      </c>
      <c r="C83">
        <v>0.12997831652140471</v>
      </c>
      <c r="E83">
        <v>49.159663865546214</v>
      </c>
      <c r="F83">
        <v>1.2403720234584125E-2</v>
      </c>
    </row>
    <row r="84" spans="1:6" x14ac:dyDescent="0.3">
      <c r="A84">
        <v>60</v>
      </c>
      <c r="B84">
        <v>2.3622842808290467E-2</v>
      </c>
      <c r="C84">
        <v>8.6322410867807384E-2</v>
      </c>
      <c r="E84">
        <v>50</v>
      </c>
      <c r="F84">
        <v>1.4174610107090016E-2</v>
      </c>
    </row>
    <row r="85" spans="1:6" x14ac:dyDescent="0.3">
      <c r="A85">
        <v>61</v>
      </c>
      <c r="B85">
        <v>1.2263042440214096E-2</v>
      </c>
      <c r="C85">
        <v>-5.0076498989422139E-2</v>
      </c>
      <c r="E85">
        <v>50.840336134453779</v>
      </c>
      <c r="F85">
        <v>1.5544105062062264E-2</v>
      </c>
    </row>
    <row r="86" spans="1:6" x14ac:dyDescent="0.3">
      <c r="A86">
        <v>62</v>
      </c>
      <c r="B86">
        <v>1.6532947161459793E-2</v>
      </c>
      <c r="C86">
        <v>-2.5076145172807242E-2</v>
      </c>
      <c r="E86">
        <v>51.680672268907564</v>
      </c>
      <c r="F86">
        <v>1.5781221366619098E-2</v>
      </c>
    </row>
    <row r="87" spans="1:6" x14ac:dyDescent="0.3">
      <c r="A87">
        <v>63</v>
      </c>
      <c r="B87">
        <v>2.4546249296285572E-2</v>
      </c>
      <c r="C87">
        <v>0.13960700343966681</v>
      </c>
      <c r="E87">
        <v>52.521008403361343</v>
      </c>
      <c r="F87">
        <v>1.745491878328042E-2</v>
      </c>
    </row>
    <row r="88" spans="1:6" x14ac:dyDescent="0.3">
      <c r="A88">
        <v>64</v>
      </c>
      <c r="B88">
        <v>8.6759543194041572E-3</v>
      </c>
      <c r="C88">
        <v>6.8681507426581068E-3</v>
      </c>
      <c r="E88">
        <v>53.361344537815128</v>
      </c>
      <c r="F88">
        <v>1.8503270185145901E-2</v>
      </c>
    </row>
    <row r="89" spans="1:6" x14ac:dyDescent="0.3">
      <c r="A89">
        <v>65</v>
      </c>
      <c r="B89">
        <v>-1.2610455633401138E-2</v>
      </c>
      <c r="C89">
        <v>-0.11822045006727668</v>
      </c>
      <c r="E89">
        <v>54.201680672268907</v>
      </c>
      <c r="F89">
        <v>1.9746716396079229E-2</v>
      </c>
    </row>
    <row r="90" spans="1:6" x14ac:dyDescent="0.3">
      <c r="A90">
        <v>66</v>
      </c>
      <c r="B90">
        <v>8.9110690722148909E-3</v>
      </c>
      <c r="C90">
        <v>-0.19633243812739301</v>
      </c>
      <c r="E90">
        <v>55.042016806722685</v>
      </c>
      <c r="F90">
        <v>1.9853359311279233E-2</v>
      </c>
    </row>
    <row r="91" spans="1:6" x14ac:dyDescent="0.3">
      <c r="A91">
        <v>67</v>
      </c>
      <c r="B91">
        <v>-1.324679088057251E-2</v>
      </c>
      <c r="C91">
        <v>-0.11420417112494283</v>
      </c>
      <c r="E91">
        <v>55.882352941176471</v>
      </c>
      <c r="F91">
        <v>2.0127948259951074E-2</v>
      </c>
    </row>
    <row r="92" spans="1:6" x14ac:dyDescent="0.3">
      <c r="A92">
        <v>68</v>
      </c>
      <c r="B92">
        <v>3.2924588679065683E-2</v>
      </c>
      <c r="C92">
        <v>-6.1901477527424774E-2</v>
      </c>
      <c r="E92">
        <v>56.72268907563025</v>
      </c>
      <c r="F92">
        <v>2.1250654200579491E-2</v>
      </c>
    </row>
    <row r="93" spans="1:6" x14ac:dyDescent="0.3">
      <c r="A93">
        <v>69</v>
      </c>
      <c r="B93">
        <v>1.6649688545655461E-2</v>
      </c>
      <c r="C93">
        <v>0.11246111942872036</v>
      </c>
      <c r="E93">
        <v>57.563025210084035</v>
      </c>
      <c r="F93">
        <v>2.282662648226012E-2</v>
      </c>
    </row>
    <row r="94" spans="1:6" x14ac:dyDescent="0.3">
      <c r="A94">
        <v>70</v>
      </c>
      <c r="B94">
        <v>1.9728246350891938E-2</v>
      </c>
      <c r="C94">
        <v>-7.5823303366564954E-2</v>
      </c>
      <c r="E94">
        <v>58.403361344537814</v>
      </c>
      <c r="F94">
        <v>2.4053400684988117E-2</v>
      </c>
    </row>
    <row r="95" spans="1:6" x14ac:dyDescent="0.3">
      <c r="A95">
        <v>71</v>
      </c>
      <c r="B95">
        <v>2.3558189743423261E-2</v>
      </c>
      <c r="C95">
        <v>6.4670055817310085E-2</v>
      </c>
      <c r="E95">
        <v>59.243697478991599</v>
      </c>
      <c r="F95">
        <v>2.718330318938858E-2</v>
      </c>
    </row>
    <row r="96" spans="1:6" x14ac:dyDescent="0.3">
      <c r="A96">
        <v>72</v>
      </c>
      <c r="B96">
        <v>-1.1939796682658788E-2</v>
      </c>
      <c r="C96">
        <v>-3.9063963634725328E-2</v>
      </c>
      <c r="E96">
        <v>60.084033613445378</v>
      </c>
      <c r="F96">
        <v>2.7939527491294205E-2</v>
      </c>
    </row>
    <row r="97" spans="1:6" x14ac:dyDescent="0.3">
      <c r="A97">
        <v>73</v>
      </c>
      <c r="B97">
        <v>2.9097642879886497E-2</v>
      </c>
      <c r="C97">
        <v>-4.7965599387769384E-2</v>
      </c>
      <c r="E97">
        <v>60.924369747899156</v>
      </c>
      <c r="F97">
        <v>3.2104664376370891E-2</v>
      </c>
    </row>
    <row r="98" spans="1:6" x14ac:dyDescent="0.3">
      <c r="A98">
        <v>74</v>
      </c>
      <c r="B98">
        <v>1.5511144314113844E-2</v>
      </c>
      <c r="C98">
        <v>-9.1009549351055707E-3</v>
      </c>
      <c r="E98">
        <v>61.764705882352942</v>
      </c>
      <c r="F98">
        <v>3.4455031470030976E-2</v>
      </c>
    </row>
    <row r="99" spans="1:6" x14ac:dyDescent="0.3">
      <c r="A99">
        <v>75</v>
      </c>
      <c r="B99">
        <v>4.4260525829942507E-3</v>
      </c>
      <c r="C99">
        <v>8.011365629893398E-2</v>
      </c>
      <c r="E99">
        <v>62.605042016806721</v>
      </c>
      <c r="F99">
        <v>3.4466193102749516E-2</v>
      </c>
    </row>
    <row r="100" spans="1:6" x14ac:dyDescent="0.3">
      <c r="A100">
        <v>76</v>
      </c>
      <c r="B100">
        <v>1.1523374343692586E-2</v>
      </c>
      <c r="C100">
        <v>-0.13218542872075806</v>
      </c>
      <c r="E100">
        <v>63.445378151260506</v>
      </c>
      <c r="F100">
        <v>3.495131654369029E-2</v>
      </c>
    </row>
    <row r="101" spans="1:6" x14ac:dyDescent="0.3">
      <c r="A101">
        <v>77</v>
      </c>
      <c r="B101">
        <v>2.0631034837321302E-2</v>
      </c>
      <c r="C101">
        <v>6.7407905037655605E-2</v>
      </c>
      <c r="E101">
        <v>64.285714285714292</v>
      </c>
      <c r="F101">
        <v>3.631649241381045E-2</v>
      </c>
    </row>
    <row r="102" spans="1:6" x14ac:dyDescent="0.3">
      <c r="A102">
        <v>78</v>
      </c>
      <c r="B102">
        <v>1.9713260054602305E-2</v>
      </c>
      <c r="C102">
        <v>4.1112544516957839E-2</v>
      </c>
      <c r="E102">
        <v>65.12605042016807</v>
      </c>
      <c r="F102">
        <v>4.7161519140202932E-2</v>
      </c>
    </row>
    <row r="103" spans="1:6" x14ac:dyDescent="0.3">
      <c r="A103">
        <v>79</v>
      </c>
      <c r="B103">
        <v>1.9618314173614405E-2</v>
      </c>
      <c r="C103">
        <v>-3.8370928069953077E-3</v>
      </c>
      <c r="E103">
        <v>65.966386554621849</v>
      </c>
      <c r="F103">
        <v>4.9689499114038693E-2</v>
      </c>
    </row>
    <row r="104" spans="1:6" x14ac:dyDescent="0.3">
      <c r="A104">
        <v>80</v>
      </c>
      <c r="B104">
        <v>1.7158076287167045E-2</v>
      </c>
      <c r="C104">
        <v>-4.0462002523948284E-2</v>
      </c>
      <c r="E104">
        <v>66.806722689075642</v>
      </c>
      <c r="F104">
        <v>5.1048175913139801E-2</v>
      </c>
    </row>
    <row r="105" spans="1:6" x14ac:dyDescent="0.3">
      <c r="A105">
        <v>81</v>
      </c>
      <c r="B105">
        <v>-5.5161472639142922E-3</v>
      </c>
      <c r="C105">
        <v>-0.10636089080283014</v>
      </c>
      <c r="E105">
        <v>67.64705882352942</v>
      </c>
      <c r="F105">
        <v>5.3412558090892438E-2</v>
      </c>
    </row>
    <row r="106" spans="1:6" x14ac:dyDescent="0.3">
      <c r="A106">
        <v>82</v>
      </c>
      <c r="B106">
        <v>-1.005327286136211E-2</v>
      </c>
      <c r="C106">
        <v>-1.502147010222755E-2</v>
      </c>
      <c r="E106">
        <v>68.487394957983199</v>
      </c>
      <c r="F106">
        <v>5.6386964498524962E-2</v>
      </c>
    </row>
    <row r="107" spans="1:6" x14ac:dyDescent="0.3">
      <c r="A107">
        <v>83</v>
      </c>
      <c r="B107">
        <v>4.8497633316058802E-2</v>
      </c>
      <c r="C107">
        <v>-0.15707353124517004</v>
      </c>
      <c r="E107">
        <v>69.327731092436977</v>
      </c>
      <c r="F107">
        <v>5.7613290891013705E-2</v>
      </c>
    </row>
    <row r="108" spans="1:6" x14ac:dyDescent="0.3">
      <c r="A108">
        <v>84</v>
      </c>
      <c r="B108">
        <v>2.5374986557303809E-2</v>
      </c>
      <c r="C108">
        <v>-0.1112475349401558</v>
      </c>
      <c r="E108">
        <v>70.16806722689077</v>
      </c>
      <c r="F108">
        <v>5.9110849571468553E-2</v>
      </c>
    </row>
    <row r="109" spans="1:6" x14ac:dyDescent="0.3">
      <c r="A109">
        <v>85</v>
      </c>
      <c r="B109">
        <v>2.569869050520518E-2</v>
      </c>
      <c r="C109">
        <v>0.10308916483341921</v>
      </c>
      <c r="E109">
        <v>71.008403361344548</v>
      </c>
      <c r="F109">
        <v>6.0825804571560144E-2</v>
      </c>
    </row>
    <row r="110" spans="1:6" x14ac:dyDescent="0.3">
      <c r="A110">
        <v>86</v>
      </c>
      <c r="B110">
        <v>2.8470103851922064E-2</v>
      </c>
      <c r="C110">
        <v>-0.20363776912779025</v>
      </c>
      <c r="E110">
        <v>71.848739495798327</v>
      </c>
      <c r="F110">
        <v>6.1325358312541628E-2</v>
      </c>
    </row>
    <row r="111" spans="1:6" x14ac:dyDescent="0.3">
      <c r="A111">
        <v>87</v>
      </c>
      <c r="B111">
        <v>3.7879830478653571E-2</v>
      </c>
      <c r="C111">
        <v>4.1045987935258897E-2</v>
      </c>
      <c r="E111">
        <v>72.689075630252105</v>
      </c>
      <c r="F111">
        <v>6.6666695464004624E-2</v>
      </c>
    </row>
    <row r="112" spans="1:6" x14ac:dyDescent="0.3">
      <c r="A112">
        <v>88</v>
      </c>
      <c r="B112">
        <v>-5.07640054448176E-3</v>
      </c>
      <c r="C112">
        <v>0.10085313808906415</v>
      </c>
      <c r="E112">
        <v>73.529411764705884</v>
      </c>
      <c r="F112">
        <v>7.8925818413912469E-2</v>
      </c>
    </row>
    <row r="113" spans="1:6" x14ac:dyDescent="0.3">
      <c r="A113">
        <v>89</v>
      </c>
      <c r="B113">
        <v>1.3839290547794959E-3</v>
      </c>
      <c r="C113">
        <v>-0.14247126975101845</v>
      </c>
      <c r="E113">
        <v>74.369747899159677</v>
      </c>
      <c r="F113">
        <v>7.9008571933907076E-2</v>
      </c>
    </row>
    <row r="114" spans="1:6" x14ac:dyDescent="0.3">
      <c r="A114">
        <v>90</v>
      </c>
      <c r="B114">
        <v>3.7747761738776572E-2</v>
      </c>
      <c r="C114">
        <v>-3.2927302687455959E-3</v>
      </c>
      <c r="E114">
        <v>75.210084033613455</v>
      </c>
      <c r="F114">
        <v>8.453970888192823E-2</v>
      </c>
    </row>
    <row r="115" spans="1:6" x14ac:dyDescent="0.3">
      <c r="A115">
        <v>91</v>
      </c>
      <c r="B115">
        <v>2.2522955907305846E-2</v>
      </c>
      <c r="C115">
        <v>5.6485616026601231E-2</v>
      </c>
      <c r="E115">
        <v>76.050420168067234</v>
      </c>
      <c r="F115">
        <v>8.6207083069941487E-2</v>
      </c>
    </row>
    <row r="116" spans="1:6" x14ac:dyDescent="0.3">
      <c r="A116">
        <v>92</v>
      </c>
      <c r="B116">
        <v>1.03137869730508E-2</v>
      </c>
      <c r="C116">
        <v>-1.8928186050466617E-2</v>
      </c>
      <c r="E116">
        <v>76.890756302521012</v>
      </c>
      <c r="F116">
        <v>8.6765660715551515E-2</v>
      </c>
    </row>
    <row r="117" spans="1:6" x14ac:dyDescent="0.3">
      <c r="A117">
        <v>93</v>
      </c>
      <c r="B117">
        <v>9.2603583665605161E-3</v>
      </c>
      <c r="C117">
        <v>-8.2395870247332956E-2</v>
      </c>
      <c r="E117">
        <v>77.731092436974791</v>
      </c>
      <c r="F117">
        <v>8.8038939874976907E-2</v>
      </c>
    </row>
    <row r="118" spans="1:6" x14ac:dyDescent="0.3">
      <c r="A118">
        <v>94</v>
      </c>
      <c r="B118">
        <v>1.3188262084105515E-2</v>
      </c>
      <c r="C118">
        <v>0.13603055798698857</v>
      </c>
      <c r="E118">
        <v>78.571428571428584</v>
      </c>
      <c r="F118">
        <v>8.8228245560733345E-2</v>
      </c>
    </row>
    <row r="119" spans="1:6" x14ac:dyDescent="0.3">
      <c r="A119">
        <v>95</v>
      </c>
      <c r="B119">
        <v>2.4631907249602618E-2</v>
      </c>
      <c r="C119">
        <v>-0.10371526179093243</v>
      </c>
      <c r="E119">
        <v>79.411764705882362</v>
      </c>
      <c r="F119">
        <v>8.8270319053219304E-2</v>
      </c>
    </row>
    <row r="120" spans="1:6" x14ac:dyDescent="0.3">
      <c r="A120">
        <v>96</v>
      </c>
      <c r="B120">
        <v>6.3554941620936715E-3</v>
      </c>
      <c r="C120">
        <v>0.30349300663557099</v>
      </c>
      <c r="E120">
        <v>80.252100840336141</v>
      </c>
      <c r="F120">
        <v>9.1317329541265785E-2</v>
      </c>
    </row>
    <row r="121" spans="1:6" x14ac:dyDescent="0.3">
      <c r="A121">
        <v>97</v>
      </c>
      <c r="B121">
        <v>2.5829959838305487E-2</v>
      </c>
      <c r="C121">
        <v>1.3533433510830931E-3</v>
      </c>
      <c r="E121">
        <v>81.092436974789919</v>
      </c>
      <c r="F121">
        <v>9.5354432951365919E-2</v>
      </c>
    </row>
    <row r="122" spans="1:6" x14ac:dyDescent="0.3">
      <c r="A122">
        <v>98</v>
      </c>
      <c r="B122">
        <v>1.6707058863757302E-2</v>
      </c>
      <c r="C122">
        <v>7.4785991952311739E-4</v>
      </c>
      <c r="E122">
        <v>81.932773109243698</v>
      </c>
      <c r="F122">
        <v>9.5776737544582394E-2</v>
      </c>
    </row>
    <row r="123" spans="1:6" x14ac:dyDescent="0.3">
      <c r="A123">
        <v>99</v>
      </c>
      <c r="B123">
        <v>2.0238971665452909E-2</v>
      </c>
      <c r="C123">
        <v>0.26863773704718563</v>
      </c>
      <c r="E123">
        <v>82.77310924369749</v>
      </c>
      <c r="F123">
        <v>9.648339621871764E-2</v>
      </c>
    </row>
    <row r="124" spans="1:6" x14ac:dyDescent="0.3">
      <c r="A124">
        <v>100</v>
      </c>
      <c r="B124">
        <v>-5.1041493014386975E-3</v>
      </c>
      <c r="C124">
        <v>-1.1641289547202198E-2</v>
      </c>
      <c r="E124">
        <v>83.613445378151269</v>
      </c>
      <c r="F124">
        <v>0.10564657120475442</v>
      </c>
    </row>
    <row r="125" spans="1:6" x14ac:dyDescent="0.3">
      <c r="A125">
        <v>101</v>
      </c>
      <c r="B125">
        <v>2.9822543027357429E-2</v>
      </c>
      <c r="C125">
        <v>1.7338976112845503E-2</v>
      </c>
      <c r="E125">
        <v>84.453781512605048</v>
      </c>
      <c r="F125">
        <v>0.10755661307720825</v>
      </c>
    </row>
    <row r="126" spans="1:6" x14ac:dyDescent="0.3">
      <c r="A126">
        <v>102</v>
      </c>
      <c r="B126">
        <v>1.4190191492836516E-2</v>
      </c>
      <c r="C126">
        <v>-0.17098746915210469</v>
      </c>
      <c r="E126">
        <v>85.294117647058826</v>
      </c>
      <c r="F126">
        <v>0.10780673416972737</v>
      </c>
    </row>
    <row r="127" spans="1:6" x14ac:dyDescent="0.3">
      <c r="A127">
        <v>103</v>
      </c>
      <c r="B127">
        <v>1.2500325819740515E-2</v>
      </c>
      <c r="C127">
        <v>4.882503249280111E-2</v>
      </c>
      <c r="E127">
        <v>86.134453781512619</v>
      </c>
      <c r="F127">
        <v>0.10994525367609785</v>
      </c>
    </row>
    <row r="128" spans="1:6" x14ac:dyDescent="0.3">
      <c r="A128">
        <v>104</v>
      </c>
      <c r="B128">
        <v>-1.2245016888131907E-2</v>
      </c>
      <c r="C128">
        <v>-3.1557345802112113E-2</v>
      </c>
      <c r="E128">
        <v>86.974789915966397</v>
      </c>
      <c r="F128">
        <v>0.1103789494204884</v>
      </c>
    </row>
    <row r="129" spans="1:6" x14ac:dyDescent="0.3">
      <c r="A129">
        <v>105</v>
      </c>
      <c r="B129">
        <v>-2.3025537977603566E-3</v>
      </c>
      <c r="C129">
        <v>0.11682499513808305</v>
      </c>
      <c r="E129">
        <v>87.815126050420176</v>
      </c>
      <c r="F129">
        <v>0.11452244134032269</v>
      </c>
    </row>
    <row r="130" spans="1:6" x14ac:dyDescent="0.3">
      <c r="A130">
        <v>106</v>
      </c>
      <c r="B130">
        <v>2.0385151582175791E-2</v>
      </c>
      <c r="C130">
        <v>-0.15287318153300988</v>
      </c>
      <c r="E130">
        <v>88.655462184873954</v>
      </c>
      <c r="F130">
        <v>0.11587149570778328</v>
      </c>
    </row>
    <row r="131" spans="1:6" x14ac:dyDescent="0.3">
      <c r="A131">
        <v>107</v>
      </c>
      <c r="B131">
        <v>-2.4673905168860186E-2</v>
      </c>
      <c r="C131">
        <v>0.28107766910313331</v>
      </c>
      <c r="E131">
        <v>89.495798319327733</v>
      </c>
      <c r="F131">
        <v>0.12878785533862439</v>
      </c>
    </row>
    <row r="132" spans="1:6" x14ac:dyDescent="0.3">
      <c r="A132">
        <v>108</v>
      </c>
      <c r="B132">
        <v>5.3371242703699716E-3</v>
      </c>
      <c r="C132">
        <v>-0.11012627994386978</v>
      </c>
      <c r="E132">
        <v>90.336134453781526</v>
      </c>
      <c r="F132">
        <v>0.12911080797437582</v>
      </c>
    </row>
    <row r="133" spans="1:6" x14ac:dyDescent="0.3">
      <c r="A133">
        <v>109</v>
      </c>
      <c r="B133">
        <v>-1.3493667823480578E-2</v>
      </c>
      <c r="C133">
        <v>2.7668277930570594E-2</v>
      </c>
      <c r="E133">
        <v>91.176470588235304</v>
      </c>
      <c r="F133">
        <v>0.13825509327743779</v>
      </c>
    </row>
    <row r="134" spans="1:6" x14ac:dyDescent="0.3">
      <c r="A134">
        <v>110</v>
      </c>
      <c r="B134">
        <v>4.1741267850519237E-2</v>
      </c>
      <c r="C134">
        <v>5.4742128368198403E-2</v>
      </c>
      <c r="E134">
        <v>92.016806722689083</v>
      </c>
      <c r="F134">
        <v>0.13973210309269049</v>
      </c>
    </row>
    <row r="135" spans="1:6" x14ac:dyDescent="0.3">
      <c r="A135">
        <v>111</v>
      </c>
      <c r="B135">
        <v>-3.7984318454561735E-3</v>
      </c>
      <c r="C135">
        <v>2.2301702030602076E-2</v>
      </c>
      <c r="E135">
        <v>92.857142857142861</v>
      </c>
      <c r="F135">
        <v>0.14050605224752469</v>
      </c>
    </row>
    <row r="136" spans="1:6" x14ac:dyDescent="0.3">
      <c r="A136">
        <v>112</v>
      </c>
      <c r="B136">
        <v>-1.7580376603191637E-2</v>
      </c>
      <c r="C136">
        <v>-3.8535920660701835E-2</v>
      </c>
      <c r="E136">
        <v>93.69747899159664</v>
      </c>
      <c r="F136">
        <v>0.1466914346429555</v>
      </c>
    </row>
    <row r="137" spans="1:6" x14ac:dyDescent="0.3">
      <c r="A137">
        <v>113</v>
      </c>
      <c r="B137">
        <v>1.9719257001687009E-2</v>
      </c>
      <c r="C137">
        <v>-7.3155367671028839E-3</v>
      </c>
      <c r="E137">
        <v>94.537815126050432</v>
      </c>
      <c r="F137">
        <v>0.14839374348341547</v>
      </c>
    </row>
    <row r="138" spans="1:6" x14ac:dyDescent="0.3">
      <c r="A138">
        <v>114</v>
      </c>
      <c r="B138">
        <v>2.3604018162743767E-2</v>
      </c>
      <c r="C138">
        <v>-1.8956734601121666E-2</v>
      </c>
      <c r="E138">
        <v>95.378151260504211</v>
      </c>
      <c r="F138">
        <v>0.14921882007109408</v>
      </c>
    </row>
    <row r="139" spans="1:6" x14ac:dyDescent="0.3">
      <c r="A139">
        <v>115</v>
      </c>
      <c r="B139">
        <v>-1.3643428689956499E-2</v>
      </c>
      <c r="C139">
        <v>-0.1078872721815802</v>
      </c>
      <c r="E139">
        <v>96.21848739495799</v>
      </c>
      <c r="F139">
        <v>0.16415325273595238</v>
      </c>
    </row>
    <row r="140" spans="1:6" x14ac:dyDescent="0.3">
      <c r="A140">
        <v>116</v>
      </c>
      <c r="B140">
        <v>3.6793339764844259E-2</v>
      </c>
      <c r="C140">
        <v>-2.3271466620947423E-3</v>
      </c>
      <c r="E140">
        <v>97.058823529411768</v>
      </c>
      <c r="F140">
        <v>0.24230182874498365</v>
      </c>
    </row>
    <row r="141" spans="1:6" x14ac:dyDescent="0.3">
      <c r="A141">
        <v>117</v>
      </c>
      <c r="B141">
        <v>8.3101227237989735E-3</v>
      </c>
      <c r="C141">
        <v>0.13838131191915654</v>
      </c>
      <c r="E141">
        <v>97.899159663865547</v>
      </c>
      <c r="F141">
        <v>0.25640376393427311</v>
      </c>
    </row>
    <row r="142" spans="1:6" x14ac:dyDescent="0.3">
      <c r="A142">
        <v>118</v>
      </c>
      <c r="B142">
        <v>3.3813771380675421E-2</v>
      </c>
      <c r="C142">
        <v>-0.10282100637132482</v>
      </c>
      <c r="E142">
        <v>98.739495798319339</v>
      </c>
      <c r="F142">
        <v>0.28887670871263854</v>
      </c>
    </row>
    <row r="143" spans="1:6" ht="15" thickBot="1" x14ac:dyDescent="0.35">
      <c r="A143" s="79">
        <v>119</v>
      </c>
      <c r="B143" s="79">
        <v>5.778999961010705E-3</v>
      </c>
      <c r="C143" s="79">
        <v>3.0537492452799745E-2</v>
      </c>
      <c r="E143" s="79">
        <v>99.579831932773118</v>
      </c>
      <c r="F143" s="79">
        <v>0.30984850079766468</v>
      </c>
    </row>
    <row r="145" spans="2:3" x14ac:dyDescent="0.3">
      <c r="B145" t="s">
        <v>117</v>
      </c>
      <c r="C145" t="s">
        <v>113</v>
      </c>
    </row>
    <row r="146" spans="2:3" x14ac:dyDescent="0.3">
      <c r="B146">
        <f>AVERAGE(C25:C143)</f>
        <v>4.6939576408784195E-18</v>
      </c>
      <c r="C146">
        <f>COVAR(C25:C143,C25:C143)</f>
        <v>9.2141352353988029E-3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A683-0575-41A9-BFE5-E013E1F0E176}">
  <dimension ref="A1:I146"/>
  <sheetViews>
    <sheetView workbookViewId="0">
      <selection activeCell="B145" sqref="B145"/>
    </sheetView>
  </sheetViews>
  <sheetFormatPr defaultRowHeight="14.4" x14ac:dyDescent="0.3"/>
  <cols>
    <col min="1" max="1" width="19.33203125" bestFit="1" customWidth="1"/>
    <col min="2" max="2" width="12.6640625" bestFit="1" customWidth="1"/>
    <col min="3" max="3" width="14.33203125" bestFit="1" customWidth="1"/>
    <col min="4" max="4" width="12" bestFit="1" customWidth="1"/>
    <col min="5" max="5" width="20.109375" bestFit="1" customWidth="1"/>
    <col min="6" max="6" width="13.88671875" bestFit="1" customWidth="1"/>
    <col min="7" max="7" width="13.21875" bestFit="1" customWidth="1"/>
    <col min="8" max="8" width="14.109375" bestFit="1" customWidth="1"/>
    <col min="9" max="9" width="14.7773437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142" t="s">
        <v>80</v>
      </c>
      <c r="B3" s="142"/>
    </row>
    <row r="4" spans="1:9" x14ac:dyDescent="0.3">
      <c r="A4" t="s">
        <v>81</v>
      </c>
      <c r="B4">
        <v>0.4580774797983459</v>
      </c>
    </row>
    <row r="5" spans="1:9" x14ac:dyDescent="0.3">
      <c r="A5" t="s">
        <v>82</v>
      </c>
      <c r="B5">
        <v>0.20983497749840399</v>
      </c>
    </row>
    <row r="6" spans="1:9" x14ac:dyDescent="0.3">
      <c r="A6" t="s">
        <v>83</v>
      </c>
      <c r="B6">
        <v>0.20308143029753564</v>
      </c>
    </row>
    <row r="7" spans="1:9" x14ac:dyDescent="0.3">
      <c r="A7" t="s">
        <v>84</v>
      </c>
      <c r="B7">
        <v>0.12942383351325551</v>
      </c>
    </row>
    <row r="8" spans="1:9" ht="15" thickBot="1" x14ac:dyDescent="0.35">
      <c r="A8" s="79" t="s">
        <v>85</v>
      </c>
      <c r="B8" s="79">
        <v>119</v>
      </c>
    </row>
    <row r="10" spans="1:9" ht="15" thickBot="1" x14ac:dyDescent="0.35">
      <c r="A10" t="s">
        <v>86</v>
      </c>
    </row>
    <row r="11" spans="1:9" x14ac:dyDescent="0.3">
      <c r="A11" s="141"/>
      <c r="B11" s="141" t="s">
        <v>91</v>
      </c>
      <c r="C11" s="141" t="s">
        <v>92</v>
      </c>
      <c r="D11" s="141" t="s">
        <v>93</v>
      </c>
      <c r="E11" s="141" t="s">
        <v>94</v>
      </c>
      <c r="F11" s="141" t="s">
        <v>95</v>
      </c>
    </row>
    <row r="12" spans="1:9" x14ac:dyDescent="0.3">
      <c r="A12" t="s">
        <v>87</v>
      </c>
      <c r="B12">
        <v>1</v>
      </c>
      <c r="C12">
        <v>0.52044454630717363</v>
      </c>
      <c r="D12">
        <v>0.52044454630717363</v>
      </c>
      <c r="E12">
        <v>31.070335522556846</v>
      </c>
      <c r="F12">
        <v>1.6205457152509842E-7</v>
      </c>
    </row>
    <row r="13" spans="1:9" x14ac:dyDescent="0.3">
      <c r="A13" t="s">
        <v>88</v>
      </c>
      <c r="B13">
        <v>117</v>
      </c>
      <c r="C13">
        <v>1.9598118557082249</v>
      </c>
      <c r="D13">
        <v>1.675052868126688E-2</v>
      </c>
    </row>
    <row r="14" spans="1:9" ht="15" thickBot="1" x14ac:dyDescent="0.35">
      <c r="A14" s="79" t="s">
        <v>89</v>
      </c>
      <c r="B14" s="79">
        <v>118</v>
      </c>
      <c r="C14" s="79">
        <v>2.4802564020153985</v>
      </c>
      <c r="D14" s="79"/>
      <c r="E14" s="79"/>
      <c r="F14" s="79"/>
    </row>
    <row r="15" spans="1:9" ht="15" thickBot="1" x14ac:dyDescent="0.35"/>
    <row r="16" spans="1:9" x14ac:dyDescent="0.3">
      <c r="A16" s="141"/>
      <c r="B16" s="141" t="s">
        <v>96</v>
      </c>
      <c r="C16" s="141" t="s">
        <v>84</v>
      </c>
      <c r="D16" s="141" t="s">
        <v>97</v>
      </c>
      <c r="E16" s="141" t="s">
        <v>98</v>
      </c>
      <c r="F16" s="141" t="s">
        <v>99</v>
      </c>
      <c r="G16" s="141" t="s">
        <v>100</v>
      </c>
      <c r="H16" s="141" t="s">
        <v>101</v>
      </c>
      <c r="I16" s="141" t="s">
        <v>102</v>
      </c>
    </row>
    <row r="17" spans="1:9" x14ac:dyDescent="0.3">
      <c r="A17" t="s">
        <v>90</v>
      </c>
      <c r="B17">
        <v>4.073081417635082E-3</v>
      </c>
      <c r="C17">
        <v>1.2274838443955724E-2</v>
      </c>
      <c r="D17">
        <v>0.33182362735215593</v>
      </c>
      <c r="E17">
        <v>0.74061611355204904</v>
      </c>
      <c r="F17">
        <v>-2.0236592902923758E-2</v>
      </c>
      <c r="G17">
        <v>2.8382755738193922E-2</v>
      </c>
      <c r="H17">
        <v>-2.0236592902923758E-2</v>
      </c>
      <c r="I17">
        <v>2.8382755738193922E-2</v>
      </c>
    </row>
    <row r="18" spans="1:9" ht="15" thickBot="1" x14ac:dyDescent="0.35">
      <c r="A18" s="79" t="s">
        <v>103</v>
      </c>
      <c r="B18" s="79">
        <v>1.2726293569728646</v>
      </c>
      <c r="C18" s="79">
        <v>0.22831211948141655</v>
      </c>
      <c r="D18" s="79">
        <v>5.5740771005213769</v>
      </c>
      <c r="E18" s="143">
        <v>1.6205457152510109E-7</v>
      </c>
      <c r="F18" s="79">
        <v>0.82046916819557492</v>
      </c>
      <c r="G18" s="79">
        <v>1.7247895457501543</v>
      </c>
      <c r="H18" s="79">
        <v>0.82046916819557492</v>
      </c>
      <c r="I18" s="79">
        <v>1.7247895457501543</v>
      </c>
    </row>
    <row r="22" spans="1:9" x14ac:dyDescent="0.3">
      <c r="A22" t="s">
        <v>104</v>
      </c>
      <c r="E22" t="s">
        <v>108</v>
      </c>
    </row>
    <row r="23" spans="1:9" ht="15" thickBot="1" x14ac:dyDescent="0.35"/>
    <row r="24" spans="1:9" x14ac:dyDescent="0.3">
      <c r="A24" s="141" t="s">
        <v>105</v>
      </c>
      <c r="B24" s="141" t="s">
        <v>106</v>
      </c>
      <c r="C24" s="141" t="s">
        <v>107</v>
      </c>
      <c r="E24" s="141" t="s">
        <v>109</v>
      </c>
      <c r="F24" s="141" t="s">
        <v>110</v>
      </c>
    </row>
    <row r="25" spans="1:9" x14ac:dyDescent="0.3">
      <c r="A25">
        <v>1</v>
      </c>
      <c r="B25">
        <v>-2.6725112300100939E-2</v>
      </c>
      <c r="C25">
        <v>-0.14941017315927185</v>
      </c>
      <c r="E25">
        <v>0.42016806722689076</v>
      </c>
      <c r="F25">
        <v>-0.25396179898492893</v>
      </c>
    </row>
    <row r="26" spans="1:9" x14ac:dyDescent="0.3">
      <c r="A26">
        <v>2</v>
      </c>
      <c r="B26">
        <v>8.3061233752004637E-2</v>
      </c>
      <c r="C26">
        <v>1.5354296298976611E-2</v>
      </c>
      <c r="E26">
        <v>1.2605042016806722</v>
      </c>
      <c r="F26">
        <v>-0.25117433686582857</v>
      </c>
    </row>
    <row r="27" spans="1:9" x14ac:dyDescent="0.3">
      <c r="A27">
        <v>3</v>
      </c>
      <c r="B27">
        <v>-2.6726264821860185E-3</v>
      </c>
      <c r="C27">
        <v>-0.25128917250274291</v>
      </c>
      <c r="E27">
        <v>2.1008403361344539</v>
      </c>
      <c r="F27">
        <v>-0.25117316615593155</v>
      </c>
    </row>
    <row r="28" spans="1:9" x14ac:dyDescent="0.3">
      <c r="A28">
        <v>4</v>
      </c>
      <c r="B28">
        <v>6.3853878500823164E-2</v>
      </c>
      <c r="C28">
        <v>3.1189637429364314E-2</v>
      </c>
      <c r="E28">
        <v>2.9411764705882351</v>
      </c>
      <c r="F28">
        <v>-0.22112114744681041</v>
      </c>
    </row>
    <row r="29" spans="1:9" x14ac:dyDescent="0.3">
      <c r="A29">
        <v>5</v>
      </c>
      <c r="B29">
        <v>6.7158844053684677E-2</v>
      </c>
      <c r="C29">
        <v>0.18402251011645593</v>
      </c>
      <c r="E29">
        <v>3.7815126050420167</v>
      </c>
      <c r="F29">
        <v>-0.21214767314835045</v>
      </c>
    </row>
    <row r="30" spans="1:9" x14ac:dyDescent="0.3">
      <c r="A30">
        <v>6</v>
      </c>
      <c r="B30">
        <v>4.5551790115518062E-2</v>
      </c>
      <c r="C30">
        <v>0.14347621248778142</v>
      </c>
      <c r="E30">
        <v>4.6218487394957988</v>
      </c>
      <c r="F30">
        <v>-0.18980291345329905</v>
      </c>
    </row>
    <row r="31" spans="1:9" x14ac:dyDescent="0.3">
      <c r="A31">
        <v>7</v>
      </c>
      <c r="B31">
        <v>4.2086062960763462E-2</v>
      </c>
      <c r="C31">
        <v>-0.12867919234892794</v>
      </c>
      <c r="E31">
        <v>5.46218487394958</v>
      </c>
      <c r="F31">
        <v>-0.1844603595083926</v>
      </c>
    </row>
    <row r="32" spans="1:9" x14ac:dyDescent="0.3">
      <c r="A32">
        <v>8</v>
      </c>
      <c r="B32">
        <v>-2.0755973315591029E-2</v>
      </c>
      <c r="C32">
        <v>-5.3548511938883443E-2</v>
      </c>
      <c r="E32">
        <v>6.302521008403362</v>
      </c>
      <c r="F32">
        <v>-0.18285430796057875</v>
      </c>
    </row>
    <row r="33" spans="1:6" x14ac:dyDescent="0.3">
      <c r="A33">
        <v>9</v>
      </c>
      <c r="B33">
        <v>6.7012276597979217E-2</v>
      </c>
      <c r="C33">
        <v>6.1299264394051575E-2</v>
      </c>
      <c r="E33">
        <v>7.1428571428571432</v>
      </c>
      <c r="F33">
        <v>-0.17613528545937279</v>
      </c>
    </row>
    <row r="34" spans="1:6" x14ac:dyDescent="0.3">
      <c r="A34">
        <v>10</v>
      </c>
      <c r="B34">
        <v>-3.0482589782633161E-2</v>
      </c>
      <c r="C34">
        <v>0.25336678463106493</v>
      </c>
      <c r="E34">
        <v>7.9831932773109244</v>
      </c>
      <c r="F34">
        <v>-0.17147712490739814</v>
      </c>
    </row>
    <row r="35" spans="1:6" x14ac:dyDescent="0.3">
      <c r="A35">
        <v>11</v>
      </c>
      <c r="B35">
        <v>-7.8278598305174963E-4</v>
      </c>
      <c r="C35">
        <v>-3.2173267420644289E-2</v>
      </c>
      <c r="E35">
        <v>8.8235294117647065</v>
      </c>
      <c r="F35">
        <v>-0.16691803810685565</v>
      </c>
    </row>
    <row r="36" spans="1:6" x14ac:dyDescent="0.3">
      <c r="A36">
        <v>12</v>
      </c>
      <c r="B36">
        <v>5.9070843698597594E-2</v>
      </c>
      <c r="C36">
        <v>-0.14367595807421218</v>
      </c>
      <c r="E36">
        <v>9.6638655462184886</v>
      </c>
      <c r="F36">
        <v>-0.15868720383566032</v>
      </c>
    </row>
    <row r="37" spans="1:6" x14ac:dyDescent="0.3">
      <c r="A37">
        <v>13</v>
      </c>
      <c r="B37">
        <v>4.2441081148999055E-2</v>
      </c>
      <c r="C37">
        <v>0.10776932918137341</v>
      </c>
      <c r="E37">
        <v>10.504201680672269</v>
      </c>
      <c r="F37">
        <v>-0.13672034848080744</v>
      </c>
    </row>
    <row r="38" spans="1:6" x14ac:dyDescent="0.3">
      <c r="A38">
        <v>14</v>
      </c>
      <c r="B38">
        <v>1.8295402529579084E-2</v>
      </c>
      <c r="C38">
        <v>-0.13017265026043323</v>
      </c>
      <c r="E38">
        <v>11.344537815126051</v>
      </c>
      <c r="F38">
        <v>-0.13565739055528872</v>
      </c>
    </row>
    <row r="39" spans="1:6" x14ac:dyDescent="0.3">
      <c r="A39">
        <v>15</v>
      </c>
      <c r="B39">
        <v>6.6212069387164882E-2</v>
      </c>
      <c r="C39">
        <v>3.7891858609920712E-2</v>
      </c>
      <c r="E39">
        <v>12.184873949579833</v>
      </c>
      <c r="F39">
        <v>-0.13370681942325677</v>
      </c>
    </row>
    <row r="40" spans="1:6" x14ac:dyDescent="0.3">
      <c r="A40">
        <v>16</v>
      </c>
      <c r="B40">
        <v>-6.2481128439046477E-3</v>
      </c>
      <c r="C40">
        <v>-4.9291525502823251E-2</v>
      </c>
      <c r="E40">
        <v>13.025210084033613</v>
      </c>
      <c r="F40">
        <v>-0.13180320020751871</v>
      </c>
    </row>
    <row r="41" spans="1:6" x14ac:dyDescent="0.3">
      <c r="A41">
        <v>17</v>
      </c>
      <c r="B41">
        <v>3.8253323985266291E-2</v>
      </c>
      <c r="C41">
        <v>-0.14325250663225558</v>
      </c>
      <c r="E41">
        <v>13.865546218487395</v>
      </c>
      <c r="F41">
        <v>-0.12789585927623262</v>
      </c>
    </row>
    <row r="42" spans="1:6" x14ac:dyDescent="0.3">
      <c r="A42">
        <v>18</v>
      </c>
      <c r="B42">
        <v>5.9033961540031779E-2</v>
      </c>
      <c r="C42">
        <v>-0.2305110864474299</v>
      </c>
      <c r="E42">
        <v>14.705882352941178</v>
      </c>
      <c r="F42">
        <v>-0.1233677391740754</v>
      </c>
    </row>
    <row r="43" spans="1:6" x14ac:dyDescent="0.3">
      <c r="A43">
        <v>19</v>
      </c>
      <c r="B43">
        <v>-2.5708196171345097E-2</v>
      </c>
      <c r="C43">
        <v>-6.0357399854589253E-2</v>
      </c>
      <c r="E43">
        <v>15.546218487394958</v>
      </c>
      <c r="F43">
        <v>-0.11400995557558892</v>
      </c>
    </row>
    <row r="44" spans="1:6" x14ac:dyDescent="0.3">
      <c r="A44">
        <v>20</v>
      </c>
      <c r="B44">
        <v>-2.231799686002112E-2</v>
      </c>
      <c r="C44">
        <v>-2.8803036822536442E-2</v>
      </c>
      <c r="E44">
        <v>16.386554621848738</v>
      </c>
      <c r="F44">
        <v>-0.11187724773085414</v>
      </c>
    </row>
    <row r="45" spans="1:6" x14ac:dyDescent="0.3">
      <c r="A45">
        <v>21</v>
      </c>
      <c r="B45">
        <v>9.3724555410262131E-2</v>
      </c>
      <c r="C45">
        <v>0.31813744837045621</v>
      </c>
      <c r="E45">
        <v>17.22689075630252</v>
      </c>
      <c r="F45">
        <v>-0.11085239971346705</v>
      </c>
    </row>
    <row r="46" spans="1:6" x14ac:dyDescent="0.3">
      <c r="A46">
        <v>22</v>
      </c>
      <c r="B46">
        <v>-2.6585775651318505E-2</v>
      </c>
      <c r="C46">
        <v>2.7255248454665787E-2</v>
      </c>
      <c r="E46">
        <v>18.067226890756302</v>
      </c>
      <c r="F46">
        <v>-0.10722284458620392</v>
      </c>
    </row>
    <row r="47" spans="1:6" x14ac:dyDescent="0.3">
      <c r="A47">
        <v>23</v>
      </c>
      <c r="B47">
        <v>2.7730310586920968E-2</v>
      </c>
      <c r="C47">
        <v>-2.9737385315018062E-2</v>
      </c>
      <c r="E47">
        <v>18.907563025210084</v>
      </c>
      <c r="F47">
        <v>-0.10639632107023411</v>
      </c>
    </row>
    <row r="48" spans="1:6" x14ac:dyDescent="0.3">
      <c r="A48">
        <v>24</v>
      </c>
      <c r="B48">
        <v>3.1173304457890908E-2</v>
      </c>
      <c r="C48">
        <v>-0.19809134256474656</v>
      </c>
      <c r="E48">
        <v>19.747899159663863</v>
      </c>
      <c r="F48">
        <v>-0.10499918264698929</v>
      </c>
    </row>
    <row r="49" spans="1:6" x14ac:dyDescent="0.3">
      <c r="A49">
        <v>25</v>
      </c>
      <c r="B49">
        <v>-2.7399384573420029E-2</v>
      </c>
      <c r="C49">
        <v>-2.7519123873944857E-2</v>
      </c>
      <c r="E49">
        <v>20.588235294117645</v>
      </c>
      <c r="F49">
        <v>-0.10073435746974037</v>
      </c>
    </row>
    <row r="50" spans="1:6" x14ac:dyDescent="0.3">
      <c r="A50">
        <v>26</v>
      </c>
      <c r="B50">
        <v>5.9690454274522964E-2</v>
      </c>
      <c r="C50">
        <v>-0.11673602685860129</v>
      </c>
      <c r="E50">
        <v>21.428571428571427</v>
      </c>
      <c r="F50">
        <v>-8.6593129388164491E-2</v>
      </c>
    </row>
    <row r="51" spans="1:6" x14ac:dyDescent="0.3">
      <c r="A51">
        <v>27</v>
      </c>
      <c r="B51">
        <v>-8.3099182026951393E-2</v>
      </c>
      <c r="C51">
        <v>0.16300891295042164</v>
      </c>
      <c r="E51">
        <v>22.268907563025209</v>
      </c>
      <c r="F51">
        <v>-8.6065596025934346E-2</v>
      </c>
    </row>
    <row r="52" spans="1:6" x14ac:dyDescent="0.3">
      <c r="A52">
        <v>28</v>
      </c>
      <c r="B52">
        <v>-2.3769728746713435E-2</v>
      </c>
      <c r="C52">
        <v>-8.2626592323520681E-2</v>
      </c>
      <c r="E52">
        <v>23.109243697478991</v>
      </c>
      <c r="F52">
        <v>-8.460511437561459E-2</v>
      </c>
    </row>
    <row r="53" spans="1:6" x14ac:dyDescent="0.3">
      <c r="A53">
        <v>29</v>
      </c>
      <c r="B53">
        <v>0.14645272918417165</v>
      </c>
      <c r="C53">
        <v>0.18851803104974649</v>
      </c>
      <c r="E53">
        <v>23.949579831932773</v>
      </c>
      <c r="F53">
        <v>-7.6845539457622444E-2</v>
      </c>
    </row>
    <row r="54" spans="1:6" x14ac:dyDescent="0.3">
      <c r="A54">
        <v>30</v>
      </c>
      <c r="B54">
        <v>8.3654368967925087E-3</v>
      </c>
      <c r="C54">
        <v>-1.8177982892937594E-2</v>
      </c>
      <c r="E54">
        <v>24.789915966386552</v>
      </c>
      <c r="F54">
        <v>-7.4304485254474473E-2</v>
      </c>
    </row>
    <row r="55" spans="1:6" x14ac:dyDescent="0.3">
      <c r="A55">
        <v>31</v>
      </c>
      <c r="B55">
        <v>-1.5363428889135323E-2</v>
      </c>
      <c r="C55">
        <v>0.18312135377881592</v>
      </c>
      <c r="E55">
        <v>25.630252100840334</v>
      </c>
      <c r="F55">
        <v>-7.0276571801974969E-2</v>
      </c>
    </row>
    <row r="56" spans="1:6" x14ac:dyDescent="0.3">
      <c r="A56">
        <v>32</v>
      </c>
      <c r="B56">
        <v>-8.2952720244870645E-2</v>
      </c>
      <c r="C56">
        <v>0.12341348825398621</v>
      </c>
      <c r="E56">
        <v>26.470588235294116</v>
      </c>
      <c r="F56">
        <v>-6.5410053165780566E-2</v>
      </c>
    </row>
    <row r="57" spans="1:6" x14ac:dyDescent="0.3">
      <c r="A57">
        <v>33</v>
      </c>
      <c r="B57">
        <v>-1.9139007599522549E-2</v>
      </c>
      <c r="C57">
        <v>6.5891102166834248E-2</v>
      </c>
      <c r="E57">
        <v>27.310924369747898</v>
      </c>
      <c r="F57">
        <v>-6.4314427998047582E-2</v>
      </c>
    </row>
    <row r="58" spans="1:6" x14ac:dyDescent="0.3">
      <c r="A58">
        <v>34</v>
      </c>
      <c r="B58">
        <v>8.9661862061313616E-2</v>
      </c>
      <c r="C58">
        <v>-0.13696952670688209</v>
      </c>
      <c r="E58">
        <v>28.15126050420168</v>
      </c>
      <c r="F58">
        <v>-5.704557258407833E-2</v>
      </c>
    </row>
    <row r="59" spans="1:6" x14ac:dyDescent="0.3">
      <c r="A59">
        <v>35</v>
      </c>
      <c r="B59">
        <v>-3.6334076049265779E-2</v>
      </c>
      <c r="C59">
        <v>-0.14812628345912682</v>
      </c>
      <c r="E59">
        <v>28.991596638655462</v>
      </c>
      <c r="F59">
        <v>-5.6720267458479884E-2</v>
      </c>
    </row>
    <row r="60" spans="1:6" x14ac:dyDescent="0.3">
      <c r="A60">
        <v>36</v>
      </c>
      <c r="B60">
        <v>5.7598483311094476E-2</v>
      </c>
      <c r="C60">
        <v>-0.16845088302456152</v>
      </c>
      <c r="E60">
        <v>29.831932773109244</v>
      </c>
      <c r="F60">
        <v>-5.5539638346727899E-2</v>
      </c>
    </row>
    <row r="61" spans="1:6" x14ac:dyDescent="0.3">
      <c r="A61">
        <v>37</v>
      </c>
      <c r="B61">
        <v>-2.5799535624754823E-2</v>
      </c>
      <c r="C61">
        <v>2.2345416092460213E-3</v>
      </c>
      <c r="E61">
        <v>30.672268907563023</v>
      </c>
      <c r="F61">
        <v>-5.4918508447364886E-2</v>
      </c>
    </row>
    <row r="62" spans="1:6" x14ac:dyDescent="0.3">
      <c r="A62">
        <v>38</v>
      </c>
      <c r="B62">
        <v>9.4105125640458948E-2</v>
      </c>
      <c r="C62">
        <v>-0.13123383851174608</v>
      </c>
      <c r="E62">
        <v>31.512605042016805</v>
      </c>
      <c r="F62">
        <v>-5.1121033682557562E-2</v>
      </c>
    </row>
    <row r="63" spans="1:6" x14ac:dyDescent="0.3">
      <c r="A63">
        <v>39</v>
      </c>
      <c r="B63">
        <v>1.5055318615644398E-2</v>
      </c>
      <c r="C63">
        <v>-0.20485823206894346</v>
      </c>
      <c r="E63">
        <v>32.352941176470587</v>
      </c>
      <c r="F63">
        <v>-4.9386818044706265E-2</v>
      </c>
    </row>
    <row r="64" spans="1:6" x14ac:dyDescent="0.3">
      <c r="A64">
        <v>40</v>
      </c>
      <c r="B64">
        <v>3.1987516180627354E-2</v>
      </c>
      <c r="C64">
        <v>1.2169067637458314E-2</v>
      </c>
      <c r="E64">
        <v>33.193277310924366</v>
      </c>
      <c r="F64">
        <v>-4.7657715521035988E-2</v>
      </c>
    </row>
    <row r="65" spans="1:6" x14ac:dyDescent="0.3">
      <c r="A65">
        <v>41</v>
      </c>
      <c r="B65">
        <v>-1.5354287362497179E-2</v>
      </c>
      <c r="C65">
        <v>4.0677152628495389E-2</v>
      </c>
      <c r="E65">
        <v>34.033613445378151</v>
      </c>
      <c r="F65">
        <v>-4.7635172940253163E-2</v>
      </c>
    </row>
    <row r="66" spans="1:6" x14ac:dyDescent="0.3">
      <c r="A66">
        <v>42</v>
      </c>
      <c r="B66">
        <v>6.6017735444040843E-3</v>
      </c>
      <c r="C66">
        <v>-0.25777493970033566</v>
      </c>
      <c r="E66">
        <v>34.87394957983193</v>
      </c>
      <c r="F66">
        <v>-4.7307664645568473E-2</v>
      </c>
    </row>
    <row r="67" spans="1:6" x14ac:dyDescent="0.3">
      <c r="A67">
        <v>43</v>
      </c>
      <c r="B67">
        <v>1.8043208969960398E-2</v>
      </c>
      <c r="C67">
        <v>4.0334099737163606E-2</v>
      </c>
      <c r="E67">
        <v>35.714285714285715</v>
      </c>
      <c r="F67">
        <v>-4.6537904581136394E-2</v>
      </c>
    </row>
    <row r="68" spans="1:6" x14ac:dyDescent="0.3">
      <c r="A68">
        <v>44</v>
      </c>
      <c r="B68">
        <v>7.0313040650173367E-2</v>
      </c>
      <c r="C68">
        <v>-9.8359129774511167E-2</v>
      </c>
      <c r="E68">
        <v>36.554621848739494</v>
      </c>
      <c r="F68">
        <v>-4.4769447811710959E-2</v>
      </c>
    </row>
    <row r="69" spans="1:6" x14ac:dyDescent="0.3">
      <c r="A69">
        <v>45</v>
      </c>
      <c r="B69">
        <v>5.7184188905035974E-2</v>
      </c>
      <c r="C69">
        <v>0.1031235327907729</v>
      </c>
      <c r="E69">
        <v>37.394957983193279</v>
      </c>
      <c r="F69">
        <v>-3.9423272751592478E-2</v>
      </c>
    </row>
    <row r="70" spans="1:6" x14ac:dyDescent="0.3">
      <c r="A70">
        <v>46</v>
      </c>
      <c r="B70">
        <v>2.9361816868445866E-2</v>
      </c>
      <c r="C70">
        <v>-0.28053615373427443</v>
      </c>
      <c r="E70">
        <v>38.235294117647058</v>
      </c>
      <c r="F70">
        <v>-3.752516785626199E-2</v>
      </c>
    </row>
    <row r="71" spans="1:6" x14ac:dyDescent="0.3">
      <c r="A71">
        <v>47</v>
      </c>
      <c r="B71">
        <v>3.8556180331595732E-2</v>
      </c>
      <c r="C71">
        <v>5.1849686827075858E-2</v>
      </c>
      <c r="E71">
        <v>39.075630252100837</v>
      </c>
      <c r="F71">
        <v>-3.7128712871287127E-2</v>
      </c>
    </row>
    <row r="72" spans="1:6" x14ac:dyDescent="0.3">
      <c r="A72">
        <v>48</v>
      </c>
      <c r="B72">
        <v>5.0859373175261499E-2</v>
      </c>
      <c r="C72">
        <v>0.2523554932617898</v>
      </c>
      <c r="E72">
        <v>39.915966386554622</v>
      </c>
      <c r="F72">
        <v>-3.512256004641609E-2</v>
      </c>
    </row>
    <row r="73" spans="1:6" x14ac:dyDescent="0.3">
      <c r="A73">
        <v>49</v>
      </c>
      <c r="B73">
        <v>-2.7118272637089436E-2</v>
      </c>
      <c r="C73">
        <v>6.2693527665666687E-2</v>
      </c>
      <c r="E73">
        <v>40.756302521008401</v>
      </c>
      <c r="F73">
        <v>-3.3137040026523894E-2</v>
      </c>
    </row>
    <row r="74" spans="1:6" x14ac:dyDescent="0.3">
      <c r="A74">
        <v>50</v>
      </c>
      <c r="B74">
        <v>5.6676026181195702E-2</v>
      </c>
      <c r="C74">
        <v>0.17978334602393536</v>
      </c>
      <c r="E74">
        <v>41.596638655462186</v>
      </c>
      <c r="F74">
        <v>-3.2956053403696041E-2</v>
      </c>
    </row>
    <row r="75" spans="1:6" x14ac:dyDescent="0.3">
      <c r="A75">
        <v>51</v>
      </c>
      <c r="B75">
        <v>2.7505032363304288E-2</v>
      </c>
      <c r="C75">
        <v>-7.516274788434027E-2</v>
      </c>
      <c r="E75">
        <v>42.436974789915965</v>
      </c>
      <c r="F75">
        <v>-2.80460891243378E-2</v>
      </c>
    </row>
    <row r="76" spans="1:6" x14ac:dyDescent="0.3">
      <c r="A76">
        <v>52</v>
      </c>
      <c r="B76">
        <v>2.0966886536230018E-3</v>
      </c>
      <c r="C76">
        <v>-2.5094942976413768E-2</v>
      </c>
      <c r="E76">
        <v>43.27731092436975</v>
      </c>
      <c r="F76">
        <v>-2.3564994015508801E-2</v>
      </c>
    </row>
    <row r="77" spans="1:6" x14ac:dyDescent="0.3">
      <c r="A77">
        <v>53</v>
      </c>
      <c r="B77">
        <v>6.1382217116069962E-2</v>
      </c>
      <c r="C77">
        <v>0.13347390330990822</v>
      </c>
      <c r="E77">
        <v>44.117647058823529</v>
      </c>
      <c r="F77">
        <v>-2.2998254322790766E-2</v>
      </c>
    </row>
    <row r="78" spans="1:6" x14ac:dyDescent="0.3">
      <c r="A78">
        <v>54</v>
      </c>
      <c r="B78">
        <v>2.7902192982524842E-2</v>
      </c>
      <c r="C78">
        <v>0.10489601934874111</v>
      </c>
      <c r="E78">
        <v>44.957983193277308</v>
      </c>
      <c r="F78">
        <v>-1.81181790499391E-2</v>
      </c>
    </row>
    <row r="79" spans="1:6" x14ac:dyDescent="0.3">
      <c r="A79">
        <v>55</v>
      </c>
      <c r="B79">
        <v>1.0242714135251813E-2</v>
      </c>
      <c r="C79">
        <v>7.7035855503349474E-2</v>
      </c>
      <c r="E79">
        <v>45.798319327731093</v>
      </c>
      <c r="F79">
        <v>-9.8125459961450855E-3</v>
      </c>
    </row>
    <row r="80" spans="1:6" x14ac:dyDescent="0.3">
      <c r="A80">
        <v>56</v>
      </c>
      <c r="B80">
        <v>0.11421122725399409</v>
      </c>
      <c r="C80">
        <v>-0.1193948619629826</v>
      </c>
      <c r="E80">
        <v>46.638655462184872</v>
      </c>
      <c r="F80">
        <v>-5.8868590960881127E-3</v>
      </c>
    </row>
    <row r="81" spans="1:6" x14ac:dyDescent="0.3">
      <c r="A81">
        <v>57</v>
      </c>
      <c r="B81">
        <v>-1.3427027303561725E-2</v>
      </c>
      <c r="C81">
        <v>-5.0887400694485857E-2</v>
      </c>
      <c r="E81">
        <v>47.478991596638657</v>
      </c>
      <c r="F81">
        <v>-5.4880178425195068E-3</v>
      </c>
    </row>
    <row r="82" spans="1:6" x14ac:dyDescent="0.3">
      <c r="A82">
        <v>58</v>
      </c>
      <c r="B82">
        <v>-4.6667452509002144E-2</v>
      </c>
      <c r="C82">
        <v>0.1760231447717131</v>
      </c>
      <c r="E82">
        <v>48.319327731092436</v>
      </c>
      <c r="F82">
        <v>-5.1836347089885089E-3</v>
      </c>
    </row>
    <row r="83" spans="1:6" x14ac:dyDescent="0.3">
      <c r="A83">
        <v>59</v>
      </c>
      <c r="B83">
        <v>8.7991675080537207E-3</v>
      </c>
      <c r="C83">
        <v>-9.7853466717824113E-3</v>
      </c>
      <c r="E83">
        <v>49.159663865546214</v>
      </c>
      <c r="F83">
        <v>-5.1575169114619641E-3</v>
      </c>
    </row>
    <row r="84" spans="1:6" x14ac:dyDescent="0.3">
      <c r="A84">
        <v>60</v>
      </c>
      <c r="B84">
        <v>7.3846872132389371E-2</v>
      </c>
      <c r="C84">
        <v>-0.12038477671352577</v>
      </c>
      <c r="E84">
        <v>50</v>
      </c>
      <c r="F84">
        <v>-2.8046022988505747E-3</v>
      </c>
    </row>
    <row r="85" spans="1:6" x14ac:dyDescent="0.3">
      <c r="A85">
        <v>61</v>
      </c>
      <c r="B85">
        <v>1.7419006800907431E-2</v>
      </c>
      <c r="C85">
        <v>-0.23854015424771785</v>
      </c>
      <c r="E85">
        <v>50.840336134453779</v>
      </c>
      <c r="F85">
        <v>-2.0070747280970945E-3</v>
      </c>
    </row>
    <row r="86" spans="1:6" x14ac:dyDescent="0.3">
      <c r="A86">
        <v>62</v>
      </c>
      <c r="B86">
        <v>3.8629028172921312E-2</v>
      </c>
      <c r="C86">
        <v>-4.4515887269009423E-2</v>
      </c>
      <c r="E86">
        <v>51.680672268907564</v>
      </c>
      <c r="F86">
        <v>-9.861791637286912E-4</v>
      </c>
    </row>
    <row r="87" spans="1:6" x14ac:dyDescent="0.3">
      <c r="A87">
        <v>63</v>
      </c>
      <c r="B87">
        <v>7.8433735920703268E-2</v>
      </c>
      <c r="C87">
        <v>-8.359125283216523E-2</v>
      </c>
      <c r="E87">
        <v>52.521008403361343</v>
      </c>
      <c r="F87">
        <v>6.6947280334728036E-4</v>
      </c>
    </row>
    <row r="88" spans="1:6" x14ac:dyDescent="0.3">
      <c r="A88">
        <v>64</v>
      </c>
      <c r="B88">
        <v>-3.9923989839591757E-4</v>
      </c>
      <c r="C88">
        <v>-6.9877331903579046E-2</v>
      </c>
      <c r="E88">
        <v>53.361344537815128</v>
      </c>
      <c r="F88">
        <v>2.3251516846977695E-3</v>
      </c>
    </row>
    <row r="89" spans="1:6" x14ac:dyDescent="0.3">
      <c r="A89">
        <v>65</v>
      </c>
      <c r="B89">
        <v>-0.10613584048013765</v>
      </c>
      <c r="C89">
        <v>-3.0584508000669794E-2</v>
      </c>
      <c r="E89">
        <v>54.201680672268907</v>
      </c>
      <c r="F89">
        <v>5.5185728928367822E-3</v>
      </c>
    </row>
    <row r="90" spans="1:6" x14ac:dyDescent="0.3">
      <c r="A90">
        <v>66</v>
      </c>
      <c r="B90">
        <v>7.6865242181880329E-4</v>
      </c>
      <c r="C90">
        <v>6.2628526128352943E-2</v>
      </c>
      <c r="E90">
        <v>55.042016806722685</v>
      </c>
      <c r="F90">
        <v>1.3033978528820473E-2</v>
      </c>
    </row>
    <row r="91" spans="1:6" x14ac:dyDescent="0.3">
      <c r="A91">
        <v>67</v>
      </c>
      <c r="B91">
        <v>-0.10929672698074627</v>
      </c>
      <c r="C91">
        <v>6.4527279169035306E-2</v>
      </c>
      <c r="E91">
        <v>55.882352941176471</v>
      </c>
      <c r="F91">
        <v>1.5531904255319149E-2</v>
      </c>
    </row>
    <row r="92" spans="1:6" x14ac:dyDescent="0.3">
      <c r="A92">
        <v>68</v>
      </c>
      <c r="B92">
        <v>0.12005170376119141</v>
      </c>
      <c r="C92">
        <v>7.1422653079938045E-2</v>
      </c>
      <c r="E92">
        <v>56.72268907563025</v>
      </c>
      <c r="F92">
        <v>2.5322865265998213E-2</v>
      </c>
    </row>
    <row r="93" spans="1:6" x14ac:dyDescent="0.3">
      <c r="A93">
        <v>69</v>
      </c>
      <c r="B93">
        <v>3.9208921031295516E-2</v>
      </c>
      <c r="C93">
        <v>-4.6610624576477744E-4</v>
      </c>
      <c r="E93">
        <v>57.563025210084035</v>
      </c>
      <c r="F93">
        <v>3.5575255028577252E-2</v>
      </c>
    </row>
    <row r="94" spans="1:6" x14ac:dyDescent="0.3">
      <c r="A94">
        <v>70</v>
      </c>
      <c r="B94">
        <v>5.4501130367759679E-2</v>
      </c>
      <c r="C94">
        <v>-4.8982557474922896E-2</v>
      </c>
      <c r="E94">
        <v>58.403361344537814</v>
      </c>
      <c r="F94">
        <v>3.7005103010464058E-2</v>
      </c>
    </row>
    <row r="95" spans="1:6" x14ac:dyDescent="0.3">
      <c r="A95">
        <v>71</v>
      </c>
      <c r="B95">
        <v>7.3525719091016697E-2</v>
      </c>
      <c r="C95">
        <v>9.0933005360156652E-2</v>
      </c>
      <c r="E95">
        <v>59.243697478991599</v>
      </c>
      <c r="F95">
        <v>3.8742814785530738E-2</v>
      </c>
    </row>
    <row r="96" spans="1:6" x14ac:dyDescent="0.3">
      <c r="A96">
        <v>72</v>
      </c>
      <c r="B96">
        <v>-0.10280445685281686</v>
      </c>
      <c r="C96">
        <v>4.6084189394336977E-2</v>
      </c>
      <c r="E96">
        <v>60.084033613445378</v>
      </c>
      <c r="F96">
        <v>4.0460768009115564E-2</v>
      </c>
    </row>
    <row r="97" spans="1:6" x14ac:dyDescent="0.3">
      <c r="A97">
        <v>73</v>
      </c>
      <c r="B97">
        <v>0.10104200507019838</v>
      </c>
      <c r="C97">
        <v>3.0591331738324415E-2</v>
      </c>
      <c r="E97">
        <v>60.924369747899156</v>
      </c>
      <c r="F97">
        <v>4.4156583818085668E-2</v>
      </c>
    </row>
    <row r="98" spans="1:6" x14ac:dyDescent="0.3">
      <c r="A98">
        <v>74</v>
      </c>
      <c r="B98">
        <v>3.3553397299389914E-2</v>
      </c>
      <c r="C98">
        <v>-5.1671576349329014E-2</v>
      </c>
      <c r="E98">
        <v>61.764705882352942</v>
      </c>
      <c r="F98">
        <v>4.6752094567311706E-2</v>
      </c>
    </row>
    <row r="99" spans="1:6" x14ac:dyDescent="0.3">
      <c r="A99">
        <v>75</v>
      </c>
      <c r="B99">
        <v>-2.1509899864577926E-2</v>
      </c>
      <c r="C99">
        <v>-1.6015267991684064E-2</v>
      </c>
      <c r="E99">
        <v>62.605042016806721</v>
      </c>
      <c r="F99">
        <v>5.8377308707124008E-2</v>
      </c>
    </row>
    <row r="100" spans="1:6" x14ac:dyDescent="0.3">
      <c r="A100">
        <v>76</v>
      </c>
      <c r="B100">
        <v>1.3744832045354306E-2</v>
      </c>
      <c r="C100">
        <v>-7.9154885211134868E-2</v>
      </c>
      <c r="E100">
        <v>63.445378151260506</v>
      </c>
      <c r="F100">
        <v>5.876054800385315E-2</v>
      </c>
    </row>
    <row r="101" spans="1:6" x14ac:dyDescent="0.3">
      <c r="A101">
        <v>77</v>
      </c>
      <c r="B101">
        <v>5.898557775982903E-2</v>
      </c>
      <c r="C101">
        <v>-0.16620842234603295</v>
      </c>
      <c r="E101">
        <v>64.285714285714292</v>
      </c>
      <c r="F101">
        <v>5.9304728893648212E-2</v>
      </c>
    </row>
    <row r="102" spans="1:6" x14ac:dyDescent="0.3">
      <c r="A102">
        <v>78</v>
      </c>
      <c r="B102">
        <v>5.4426688504219056E-2</v>
      </c>
      <c r="C102">
        <v>1.2188506193305665E-2</v>
      </c>
      <c r="E102">
        <v>65.12605042016807</v>
      </c>
      <c r="F102">
        <v>6.1776084551181568E-2</v>
      </c>
    </row>
    <row r="103" spans="1:6" x14ac:dyDescent="0.3">
      <c r="A103">
        <v>79</v>
      </c>
      <c r="B103">
        <v>5.3955061080094582E-2</v>
      </c>
      <c r="C103">
        <v>-4.0921082551274107E-2</v>
      </c>
      <c r="E103">
        <v>65.966386554621849</v>
      </c>
      <c r="F103">
        <v>6.339717855017174E-2</v>
      </c>
    </row>
    <row r="104" spans="1:6" x14ac:dyDescent="0.3">
      <c r="A104">
        <v>80</v>
      </c>
      <c r="B104">
        <v>4.1734250181868396E-2</v>
      </c>
      <c r="C104">
        <v>-0.15574420575745732</v>
      </c>
      <c r="E104">
        <v>66.806722689075642</v>
      </c>
      <c r="F104">
        <v>6.6615194697524721E-2</v>
      </c>
    </row>
    <row r="105" spans="1:6" x14ac:dyDescent="0.3">
      <c r="A105">
        <v>81</v>
      </c>
      <c r="B105">
        <v>-7.089607707563364E-2</v>
      </c>
      <c r="C105">
        <v>-5.9494623819888043E-3</v>
      </c>
      <c r="E105">
        <v>67.64705882352942</v>
      </c>
      <c r="F105">
        <v>7.3291174958374214E-2</v>
      </c>
    </row>
    <row r="106" spans="1:6" x14ac:dyDescent="0.3">
      <c r="A106">
        <v>82</v>
      </c>
      <c r="B106">
        <v>-9.3433472444330465E-2</v>
      </c>
      <c r="C106">
        <v>-0.11871420070401999</v>
      </c>
      <c r="E106">
        <v>68.487394957983199</v>
      </c>
      <c r="F106">
        <v>7.7511802425764095E-2</v>
      </c>
    </row>
    <row r="107" spans="1:6" x14ac:dyDescent="0.3">
      <c r="A107">
        <v>83</v>
      </c>
      <c r="B107">
        <v>0.19740813935903015</v>
      </c>
      <c r="C107">
        <v>2.3057661515462347E-2</v>
      </c>
      <c r="E107">
        <v>69.327731092436977</v>
      </c>
      <c r="F107">
        <v>7.9909730923470229E-2</v>
      </c>
    </row>
    <row r="108" spans="1:6" x14ac:dyDescent="0.3">
      <c r="A108">
        <v>84</v>
      </c>
      <c r="B108">
        <v>8.2550346516373191E-2</v>
      </c>
      <c r="C108">
        <v>-2.3245617622724979E-2</v>
      </c>
      <c r="E108">
        <v>70.16806722689077</v>
      </c>
      <c r="F108">
        <v>8.7278569638601283E-2</v>
      </c>
    </row>
    <row r="109" spans="1:6" x14ac:dyDescent="0.3">
      <c r="A109">
        <v>85</v>
      </c>
      <c r="B109">
        <v>8.4158290510774642E-2</v>
      </c>
      <c r="C109">
        <v>-2.2382205959593074E-2</v>
      </c>
      <c r="E109">
        <v>71.008403361344548</v>
      </c>
      <c r="F109">
        <v>9.0405867158671591E-2</v>
      </c>
    </row>
    <row r="110" spans="1:6" x14ac:dyDescent="0.3">
      <c r="A110">
        <v>86</v>
      </c>
      <c r="B110">
        <v>9.7924812283981963E-2</v>
      </c>
      <c r="C110">
        <v>0.10510547054430087</v>
      </c>
      <c r="E110">
        <v>71.848739495798327</v>
      </c>
      <c r="F110">
        <v>9.2515096553752951E-2</v>
      </c>
    </row>
    <row r="111" spans="1:6" x14ac:dyDescent="0.3">
      <c r="A111">
        <v>87</v>
      </c>
      <c r="B111">
        <v>0.14466601984880981</v>
      </c>
      <c r="C111">
        <v>0.14148003029637993</v>
      </c>
      <c r="E111">
        <v>72.689075630252105</v>
      </c>
      <c r="F111">
        <v>9.5043515930187478E-2</v>
      </c>
    </row>
    <row r="112" spans="1:6" x14ac:dyDescent="0.3">
      <c r="A112">
        <v>88</v>
      </c>
      <c r="B112">
        <v>-6.8711710461777223E-2</v>
      </c>
      <c r="C112">
        <v>-6.6945680093511498E-2</v>
      </c>
      <c r="E112">
        <v>73.529411764705884</v>
      </c>
      <c r="F112">
        <v>9.8415530050981248E-2</v>
      </c>
    </row>
    <row r="113" spans="1:6" x14ac:dyDescent="0.3">
      <c r="A113">
        <v>89</v>
      </c>
      <c r="B113">
        <v>-3.6621128161708927E-2</v>
      </c>
      <c r="C113">
        <v>0.3515759158484818</v>
      </c>
      <c r="E113">
        <v>74.369747899159677</v>
      </c>
      <c r="F113">
        <v>0.10055192105384679</v>
      </c>
    </row>
    <row r="114" spans="1:6" x14ac:dyDescent="0.3">
      <c r="A114">
        <v>90</v>
      </c>
      <c r="B114">
        <v>0.14400999097270203</v>
      </c>
      <c r="C114">
        <v>-7.071881601432782E-2</v>
      </c>
      <c r="E114">
        <v>75.210084033613455</v>
      </c>
      <c r="F114">
        <v>0.10410392799708559</v>
      </c>
    </row>
    <row r="115" spans="1:6" x14ac:dyDescent="0.3">
      <c r="A115">
        <v>91</v>
      </c>
      <c r="B115">
        <v>6.8383372078019061E-2</v>
      </c>
      <c r="C115">
        <v>-9.6228240741659116E-3</v>
      </c>
      <c r="E115">
        <v>76.050420168067234</v>
      </c>
      <c r="F115">
        <v>0.112232658889193</v>
      </c>
    </row>
    <row r="116" spans="1:6" x14ac:dyDescent="0.3">
      <c r="A116">
        <v>92</v>
      </c>
      <c r="B116">
        <v>7.736413671291454E-3</v>
      </c>
      <c r="C116">
        <v>-5.411261986593684E-3</v>
      </c>
      <c r="E116">
        <v>76.890756302521012</v>
      </c>
      <c r="F116">
        <v>0.12831154099203079</v>
      </c>
    </row>
    <row r="117" spans="1:6" x14ac:dyDescent="0.3">
      <c r="A117">
        <v>93</v>
      </c>
      <c r="B117">
        <v>2.5036872485268381E-3</v>
      </c>
      <c r="C117">
        <v>-0.18535799520910559</v>
      </c>
      <c r="E117">
        <v>77.731092436974791</v>
      </c>
      <c r="F117">
        <v>0.12935569226271096</v>
      </c>
    </row>
    <row r="118" spans="1:6" x14ac:dyDescent="0.3">
      <c r="A118">
        <v>94</v>
      </c>
      <c r="B118">
        <v>2.2014877131011433E-2</v>
      </c>
      <c r="C118">
        <v>5.5496925294752662E-2</v>
      </c>
      <c r="E118">
        <v>78.571428571428584</v>
      </c>
      <c r="F118">
        <v>0.13163333680852279</v>
      </c>
    </row>
    <row r="119" spans="1:6" x14ac:dyDescent="0.3">
      <c r="A119">
        <v>95</v>
      </c>
      <c r="B119">
        <v>7.8859227152743558E-2</v>
      </c>
      <c r="C119">
        <v>-0.20222696632681897</v>
      </c>
      <c r="E119">
        <v>79.411764705882362</v>
      </c>
      <c r="F119">
        <v>0.13279821233126596</v>
      </c>
    </row>
    <row r="120" spans="1:6" x14ac:dyDescent="0.3">
      <c r="A120">
        <v>96</v>
      </c>
      <c r="B120">
        <v>-1.1925728834922732E-2</v>
      </c>
      <c r="C120">
        <v>6.4377109924032248E-3</v>
      </c>
      <c r="E120">
        <v>80.252100840336141</v>
      </c>
      <c r="F120">
        <v>0.15021041033037247</v>
      </c>
    </row>
    <row r="121" spans="1:6" x14ac:dyDescent="0.3">
      <c r="A121">
        <v>97</v>
      </c>
      <c r="B121">
        <v>8.481034847045088E-2</v>
      </c>
      <c r="C121">
        <v>0.104389504516018</v>
      </c>
      <c r="E121">
        <v>81.092436974789919</v>
      </c>
      <c r="F121">
        <v>0.16030772169580887</v>
      </c>
    </row>
    <row r="122" spans="1:6" x14ac:dyDescent="0.3">
      <c r="A122">
        <v>98</v>
      </c>
      <c r="B122">
        <v>3.9493898273762956E-2</v>
      </c>
      <c r="C122">
        <v>-8.8880716318469222E-2</v>
      </c>
      <c r="E122">
        <v>81.932773109243698</v>
      </c>
      <c r="F122">
        <v>0.16445872445117335</v>
      </c>
    </row>
    <row r="123" spans="1:6" x14ac:dyDescent="0.3">
      <c r="A123">
        <v>99</v>
      </c>
      <c r="B123">
        <v>5.7038071012633459E-2</v>
      </c>
      <c r="C123">
        <v>3.5477025541119492E-2</v>
      </c>
      <c r="E123">
        <v>82.77310924369749</v>
      </c>
      <c r="F123">
        <v>0.16775792488968058</v>
      </c>
    </row>
    <row r="124" spans="1:6" x14ac:dyDescent="0.3">
      <c r="A124">
        <v>100</v>
      </c>
      <c r="B124">
        <v>-6.8849547665772656E-2</v>
      </c>
      <c r="C124">
        <v>8.438145192109181E-2</v>
      </c>
      <c r="E124">
        <v>83.613445378151269</v>
      </c>
      <c r="F124">
        <v>0.18520293126042098</v>
      </c>
    </row>
    <row r="125" spans="1:6" x14ac:dyDescent="0.3">
      <c r="A125">
        <v>101</v>
      </c>
      <c r="B125">
        <v>0.10464282256477443</v>
      </c>
      <c r="C125">
        <v>0.14813318050222751</v>
      </c>
      <c r="E125">
        <v>84.453781512605048</v>
      </c>
      <c r="F125">
        <v>0.18566001935790197</v>
      </c>
    </row>
    <row r="126" spans="1:6" x14ac:dyDescent="0.3">
      <c r="A126">
        <v>102</v>
      </c>
      <c r="B126">
        <v>2.6991790097405228E-2</v>
      </c>
      <c r="C126">
        <v>-0.16069860952066201</v>
      </c>
      <c r="E126">
        <v>85.294117647058826</v>
      </c>
      <c r="F126">
        <v>0.18902800260329949</v>
      </c>
    </row>
    <row r="127" spans="1:6" x14ac:dyDescent="0.3">
      <c r="A127">
        <v>103</v>
      </c>
      <c r="B127">
        <v>1.8597671403407227E-2</v>
      </c>
      <c r="C127">
        <v>-0.17728487523906755</v>
      </c>
      <c r="E127">
        <v>86.134453781512619</v>
      </c>
      <c r="F127">
        <v>0.18919985298646888</v>
      </c>
    </row>
    <row r="128" spans="1:6" x14ac:dyDescent="0.3">
      <c r="A128">
        <v>104</v>
      </c>
      <c r="B128">
        <v>-0.1043205860181924</v>
      </c>
      <c r="C128">
        <v>3.5862285484520307E-3</v>
      </c>
      <c r="E128">
        <v>86.974789915966397</v>
      </c>
      <c r="F128">
        <v>0.19147435684112946</v>
      </c>
    </row>
    <row r="129" spans="1:6" x14ac:dyDescent="0.3">
      <c r="A129">
        <v>105</v>
      </c>
      <c r="B129">
        <v>-5.493310119025975E-2</v>
      </c>
      <c r="C129">
        <v>1.5509828438667272E-2</v>
      </c>
      <c r="E129">
        <v>87.815126050420176</v>
      </c>
      <c r="F129">
        <v>0.19485612042597819</v>
      </c>
    </row>
    <row r="130" spans="1:6" x14ac:dyDescent="0.3">
      <c r="A130">
        <v>106</v>
      </c>
      <c r="B130">
        <v>5.7764194746126762E-2</v>
      </c>
      <c r="C130">
        <v>5.4468464143066234E-2</v>
      </c>
      <c r="E130">
        <v>88.655462184873954</v>
      </c>
      <c r="F130">
        <v>0.20303028282828284</v>
      </c>
    </row>
    <row r="131" spans="1:6" x14ac:dyDescent="0.3">
      <c r="A131">
        <v>107</v>
      </c>
      <c r="B131">
        <v>-0.16605896269740611</v>
      </c>
      <c r="C131">
        <v>3.8163103421173489E-2</v>
      </c>
      <c r="E131">
        <v>89.495798319327733</v>
      </c>
      <c r="F131">
        <v>0.2204658008744925</v>
      </c>
    </row>
    <row r="132" spans="1:6" x14ac:dyDescent="0.3">
      <c r="A132">
        <v>108</v>
      </c>
      <c r="B132">
        <v>-1.6984307088578395E-2</v>
      </c>
      <c r="C132">
        <v>-1.6152732937945499E-2</v>
      </c>
      <c r="E132">
        <v>90.336134453781526</v>
      </c>
      <c r="F132">
        <v>0.22288419484843175</v>
      </c>
    </row>
    <row r="133" spans="1:6" x14ac:dyDescent="0.3">
      <c r="A133">
        <v>109</v>
      </c>
      <c r="B133">
        <v>-0.11052304596844724</v>
      </c>
      <c r="C133">
        <v>7.5400485922031149E-2</v>
      </c>
      <c r="E133">
        <v>91.176470588235304</v>
      </c>
      <c r="F133">
        <v>0.23645937220513108</v>
      </c>
    </row>
    <row r="134" spans="1:6" x14ac:dyDescent="0.3">
      <c r="A134">
        <v>110</v>
      </c>
      <c r="B134">
        <v>0.16384704952763368</v>
      </c>
      <c r="C134">
        <v>0.2917525742328077</v>
      </c>
      <c r="E134">
        <v>92.016806722689083</v>
      </c>
      <c r="F134">
        <v>0.25118135417014059</v>
      </c>
    </row>
    <row r="135" spans="1:6" x14ac:dyDescent="0.3">
      <c r="A135">
        <v>111</v>
      </c>
      <c r="B135">
        <v>-6.2363619535010656E-2</v>
      </c>
      <c r="C135">
        <v>0.34853893033818317</v>
      </c>
      <c r="E135">
        <v>92.857142857142861</v>
      </c>
      <c r="F135">
        <v>0.25277600306700193</v>
      </c>
    </row>
    <row r="136" spans="1:6" x14ac:dyDescent="0.3">
      <c r="A136">
        <v>112</v>
      </c>
      <c r="B136">
        <v>-0.13082307283499067</v>
      </c>
      <c r="C136">
        <v>0.16782817584545473</v>
      </c>
      <c r="E136">
        <v>93.69747899159664</v>
      </c>
      <c r="F136">
        <v>0.28591699944375665</v>
      </c>
    </row>
    <row r="137" spans="1:6" x14ac:dyDescent="0.3">
      <c r="A137">
        <v>113</v>
      </c>
      <c r="B137">
        <v>5.4456477313135673E-2</v>
      </c>
      <c r="C137">
        <v>4.6095443740711117E-2</v>
      </c>
      <c r="E137">
        <v>94.537815126050432</v>
      </c>
      <c r="F137">
        <v>0.28614605014518973</v>
      </c>
    </row>
    <row r="138" spans="1:6" x14ac:dyDescent="0.3">
      <c r="A138">
        <v>114</v>
      </c>
      <c r="B138">
        <v>7.3753363925431151E-2</v>
      </c>
      <c r="C138">
        <v>0.11144956733498983</v>
      </c>
      <c r="E138">
        <v>95.378151260504211</v>
      </c>
      <c r="F138">
        <v>0.28617531080317254</v>
      </c>
    </row>
    <row r="139" spans="1:6" x14ac:dyDescent="0.3">
      <c r="A139">
        <v>115</v>
      </c>
      <c r="B139">
        <v>-0.11126695745734784</v>
      </c>
      <c r="C139">
        <v>-2.0536242750170866E-2</v>
      </c>
      <c r="E139">
        <v>96.21848739495799</v>
      </c>
      <c r="F139">
        <v>0.30321486643705131</v>
      </c>
    </row>
    <row r="140" spans="1:6" x14ac:dyDescent="0.3">
      <c r="A140">
        <v>116</v>
      </c>
      <c r="B140">
        <v>0.1392690630629293</v>
      </c>
      <c r="C140">
        <v>4.6390956294972668E-2</v>
      </c>
      <c r="E140">
        <v>97.058823529411768</v>
      </c>
      <c r="F140">
        <v>0.31495478768677287</v>
      </c>
    </row>
    <row r="141" spans="1:6" x14ac:dyDescent="0.3">
      <c r="A141">
        <v>117</v>
      </c>
      <c r="B141">
        <v>-2.2164457771913114E-3</v>
      </c>
      <c r="C141">
        <v>-4.5418727163061855E-2</v>
      </c>
      <c r="E141">
        <v>97.899159663865547</v>
      </c>
      <c r="F141">
        <v>0.33497076023391814</v>
      </c>
    </row>
    <row r="142" spans="1:6" x14ac:dyDescent="0.3">
      <c r="A142">
        <v>118</v>
      </c>
      <c r="B142">
        <v>0.12446856674432269</v>
      </c>
      <c r="C142">
        <v>0.16144843269943396</v>
      </c>
      <c r="E142">
        <v>98.739495798319339</v>
      </c>
      <c r="F142">
        <v>0.41186200378071836</v>
      </c>
    </row>
    <row r="143" spans="1:6" ht="15" thickBot="1" x14ac:dyDescent="0.35">
      <c r="A143" s="79">
        <v>119</v>
      </c>
      <c r="B143" s="79">
        <v>-1.47893651743876E-2</v>
      </c>
      <c r="C143" s="79">
        <v>1.1984762875537026E-2</v>
      </c>
      <c r="E143" s="79">
        <v>99.579831932773118</v>
      </c>
      <c r="F143" s="79">
        <v>0.45559962376044139</v>
      </c>
    </row>
    <row r="145" spans="2:3" x14ac:dyDescent="0.3">
      <c r="B145" t="s">
        <v>117</v>
      </c>
      <c r="C145" t="s">
        <v>113</v>
      </c>
    </row>
    <row r="146" spans="2:3" x14ac:dyDescent="0.3">
      <c r="B146">
        <f>AVERAGE(C25:C143)</f>
        <v>-7.594881772974089E-18</v>
      </c>
      <c r="C146">
        <f>COVAR(C25:C143,C25:C143)</f>
        <v>1.6469007190825426E-2</v>
      </c>
    </row>
  </sheetData>
  <sortState xmlns:xlrd2="http://schemas.microsoft.com/office/spreadsheetml/2017/richdata2" ref="F25:F143">
    <sortCondition ref="F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23</vt:i4>
      </vt:variant>
    </vt:vector>
  </HeadingPairs>
  <TitlesOfParts>
    <vt:vector size="23" baseType="lpstr">
      <vt:lpstr>A1</vt:lpstr>
      <vt:lpstr>A2-risolutore</vt:lpstr>
      <vt:lpstr>A2-derivazione analitica</vt:lpstr>
      <vt:lpstr>A3</vt:lpstr>
      <vt:lpstr>A4-short selling ammesso</vt:lpstr>
      <vt:lpstr>A4-short selling non ammesso</vt:lpstr>
      <vt:lpstr>A5-EW con 5 titoli</vt:lpstr>
      <vt:lpstr>A5-EW con 10 titoli</vt:lpstr>
      <vt:lpstr>A6</vt:lpstr>
      <vt:lpstr>A7</vt:lpstr>
      <vt:lpstr>B8</vt:lpstr>
      <vt:lpstr>B9-Single Index Model</vt:lpstr>
      <vt:lpstr>B9-CAPM</vt:lpstr>
      <vt:lpstr>Regressione Apple</vt:lpstr>
      <vt:lpstr>Regressione Cucinelli</vt:lpstr>
      <vt:lpstr>Regressione Goldman Sanchs</vt:lpstr>
      <vt:lpstr>Regressione JP Morgan</vt:lpstr>
      <vt:lpstr>Regressione Microsoft</vt:lpstr>
      <vt:lpstr>Regressione American Water</vt:lpstr>
      <vt:lpstr>Regressione Pfizer</vt:lpstr>
      <vt:lpstr>Regressione Tod's</vt:lpstr>
      <vt:lpstr>Regressione Riso</vt:lpstr>
      <vt:lpstr>Regressione First 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Bertoncini</dc:creator>
  <cp:lastModifiedBy>Francesca Bertoncini</cp:lastModifiedBy>
  <dcterms:created xsi:type="dcterms:W3CDTF">2023-04-29T09:24:06Z</dcterms:created>
  <dcterms:modified xsi:type="dcterms:W3CDTF">2023-05-21T07:37:46Z</dcterms:modified>
</cp:coreProperties>
</file>